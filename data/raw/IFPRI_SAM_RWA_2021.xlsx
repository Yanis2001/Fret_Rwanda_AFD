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ECO\3_ACTIVITES POLES\6-GEMMES\6. Perso\Laurent\Projets\rwanda\"/>
    </mc:Choice>
  </mc:AlternateContent>
  <bookViews>
    <workbookView xWindow="0" yWindow="0" windowWidth="19200" windowHeight="6760" firstSheet="1" activeTab="1"/>
  </bookViews>
  <sheets>
    <sheet name="SAM_2021" sheetId="1" r:id="rId1"/>
    <sheet name="Feuil1" sheetId="2" r:id="rId2"/>
  </sheets>
  <calcPr calcId="162913"/>
</workbook>
</file>

<file path=xl/calcChain.xml><?xml version="1.0" encoding="utf-8"?>
<calcChain xmlns="http://schemas.openxmlformats.org/spreadsheetml/2006/main">
  <c r="D1" i="2" l="1" a="1"/>
  <c r="D1" i="2" s="1"/>
  <c r="D24" i="2" l="1"/>
  <c r="D39" i="2"/>
  <c r="D15" i="2"/>
  <c r="D30" i="2"/>
  <c r="D6" i="2"/>
  <c r="D21" i="2"/>
  <c r="D36" i="2"/>
  <c r="D27" i="2"/>
  <c r="D19" i="2"/>
  <c r="D11" i="2"/>
  <c r="D3" i="2"/>
  <c r="D40" i="2"/>
  <c r="D16" i="2"/>
  <c r="D23" i="2"/>
  <c r="D38" i="2"/>
  <c r="D22" i="2"/>
  <c r="D29" i="2"/>
  <c r="D5" i="2"/>
  <c r="D28" i="2"/>
  <c r="D12" i="2"/>
  <c r="D35" i="2"/>
  <c r="D34" i="2"/>
  <c r="D26" i="2"/>
  <c r="D18" i="2"/>
  <c r="D10" i="2"/>
  <c r="D2" i="2"/>
  <c r="D32" i="2"/>
  <c r="D8" i="2"/>
  <c r="D31" i="2"/>
  <c r="D7" i="2"/>
  <c r="D14" i="2"/>
  <c r="D37" i="2"/>
  <c r="D13" i="2"/>
  <c r="D20" i="2"/>
  <c r="D4" i="2"/>
  <c r="D41" i="2"/>
  <c r="D33" i="2"/>
  <c r="D25" i="2"/>
  <c r="D17" i="2"/>
  <c r="D9" i="2"/>
  <c r="DG77" i="1"/>
  <c r="DG81" i="1"/>
  <c r="DG82" i="1"/>
  <c r="DG83" i="1"/>
  <c r="DG80" i="1"/>
  <c r="D111" i="1"/>
  <c r="E111" i="1"/>
  <c r="F111" i="1"/>
  <c r="G111" i="1"/>
  <c r="H111" i="1"/>
  <c r="I111" i="1"/>
  <c r="J111" i="1"/>
  <c r="K111" i="1"/>
  <c r="L111" i="1"/>
  <c r="M111" i="1"/>
  <c r="N111" i="1"/>
  <c r="O111" i="1"/>
  <c r="P111" i="1"/>
  <c r="Q111" i="1"/>
  <c r="R111" i="1"/>
  <c r="S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AJ111" i="1"/>
  <c r="AK111" i="1"/>
  <c r="AL111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BC111" i="1"/>
  <c r="BD111" i="1"/>
  <c r="BE111" i="1"/>
  <c r="BF111" i="1"/>
  <c r="BG111" i="1"/>
  <c r="BH111" i="1"/>
  <c r="BI111" i="1"/>
  <c r="BJ111" i="1"/>
  <c r="BK111" i="1"/>
  <c r="BL111" i="1"/>
  <c r="BM111" i="1"/>
  <c r="BN111" i="1"/>
  <c r="BO111" i="1"/>
  <c r="BP111" i="1"/>
  <c r="BQ111" i="1"/>
  <c r="BR111" i="1"/>
  <c r="BS111" i="1"/>
  <c r="BT111" i="1"/>
  <c r="BU111" i="1"/>
  <c r="BV111" i="1"/>
  <c r="BW111" i="1"/>
  <c r="BX111" i="1"/>
  <c r="BY111" i="1"/>
  <c r="BZ111" i="1"/>
  <c r="CA111" i="1"/>
  <c r="CB111" i="1"/>
  <c r="CC111" i="1"/>
  <c r="CD111" i="1"/>
  <c r="CE111" i="1"/>
  <c r="CF111" i="1"/>
  <c r="CG111" i="1"/>
  <c r="CH111" i="1"/>
  <c r="CI111" i="1"/>
  <c r="CJ111" i="1"/>
  <c r="CK111" i="1"/>
  <c r="CL111" i="1"/>
  <c r="CM111" i="1"/>
  <c r="CN111" i="1"/>
  <c r="CO111" i="1"/>
  <c r="CP111" i="1"/>
  <c r="CQ111" i="1"/>
  <c r="CR111" i="1"/>
  <c r="CS111" i="1"/>
  <c r="CT111" i="1"/>
  <c r="CU111" i="1"/>
  <c r="CV111" i="1"/>
  <c r="CW111" i="1"/>
  <c r="CX111" i="1"/>
  <c r="CY111" i="1"/>
  <c r="CZ111" i="1"/>
  <c r="DA111" i="1"/>
  <c r="DB111" i="1"/>
  <c r="DC111" i="1"/>
  <c r="DD111" i="1"/>
  <c r="DE111" i="1"/>
  <c r="C111" i="1"/>
</calcChain>
</file>

<file path=xl/comments1.xml><?xml version="1.0" encoding="utf-8"?>
<comments xmlns="http://schemas.openxmlformats.org/spreadsheetml/2006/main">
  <authors>
    <author>DEJARDIN VERKINDER Laurent</author>
  </authors>
  <commentList>
    <comment ref="CG73" authorId="0" shapeId="0">
      <text>
        <r>
          <rPr>
            <b/>
            <sz val="9"/>
            <color indexed="81"/>
            <rFont val="Tahoma"/>
            <family val="2"/>
          </rPr>
          <t>DEJARDIN VERKINDER Laurent: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V83" authorId="0" shapeId="0">
      <text>
        <r>
          <rPr>
            <b/>
            <sz val="9"/>
            <color indexed="81"/>
            <rFont val="Tahoma"/>
            <charset val="1"/>
          </rPr>
          <t>DEJARDIN VERKINDER Laurent:</t>
        </r>
        <r>
          <rPr>
            <sz val="9"/>
            <color indexed="81"/>
            <rFont val="Tahoma"/>
            <charset val="1"/>
          </rPr>
          <t xml:space="preserve">
pq pas de </t>
        </r>
      </text>
    </comment>
  </commentList>
</comments>
</file>

<file path=xl/sharedStrings.xml><?xml version="1.0" encoding="utf-8"?>
<sst xmlns="http://schemas.openxmlformats.org/spreadsheetml/2006/main" count="405" uniqueCount="216">
  <si>
    <t>2021 Social Accounting Matrix for Rwanda</t>
  </si>
  <si>
    <t>code</t>
  </si>
  <si>
    <t>amaiz</t>
  </si>
  <si>
    <t>arice</t>
  </si>
  <si>
    <t>aocer</t>
  </si>
  <si>
    <t>apuls</t>
  </si>
  <si>
    <t>aoils</t>
  </si>
  <si>
    <t>aroot</t>
  </si>
  <si>
    <t>avege</t>
  </si>
  <si>
    <t>asugr</t>
  </si>
  <si>
    <t>atoba</t>
  </si>
  <si>
    <t>afrui</t>
  </si>
  <si>
    <t>acoff</t>
  </si>
  <si>
    <t>aocrp</t>
  </si>
  <si>
    <t>acatt</t>
  </si>
  <si>
    <t>apoul</t>
  </si>
  <si>
    <t>aoliv</t>
  </si>
  <si>
    <t>afore</t>
  </si>
  <si>
    <t>afish</t>
  </si>
  <si>
    <t>amine</t>
  </si>
  <si>
    <t>afood</t>
  </si>
  <si>
    <t>abeve</t>
  </si>
  <si>
    <t>atext</t>
  </si>
  <si>
    <t>awood</t>
  </si>
  <si>
    <t>achem</t>
  </si>
  <si>
    <t>anmet</t>
  </si>
  <si>
    <t>ametl</t>
  </si>
  <si>
    <t>amach</t>
  </si>
  <si>
    <t>aoman</t>
  </si>
  <si>
    <t>aelec</t>
  </si>
  <si>
    <t>awatr</t>
  </si>
  <si>
    <t>acons</t>
  </si>
  <si>
    <t>atrad</t>
  </si>
  <si>
    <t>atran</t>
  </si>
  <si>
    <t>ahotl</t>
  </si>
  <si>
    <t>acomm</t>
  </si>
  <si>
    <t>afsrv</t>
  </si>
  <si>
    <t>areal</t>
  </si>
  <si>
    <t>absrv</t>
  </si>
  <si>
    <t>apadm</t>
  </si>
  <si>
    <t>aeduc</t>
  </si>
  <si>
    <t>aheal</t>
  </si>
  <si>
    <t>aosrv</t>
  </si>
  <si>
    <t>cmaiz</t>
  </si>
  <si>
    <t>crice</t>
  </si>
  <si>
    <t>cocer</t>
  </si>
  <si>
    <t>cpuls</t>
  </si>
  <si>
    <t>coils</t>
  </si>
  <si>
    <t>croot</t>
  </si>
  <si>
    <t>cvege</t>
  </si>
  <si>
    <t>csugr</t>
  </si>
  <si>
    <t>ctoba</t>
  </si>
  <si>
    <t>cfrui</t>
  </si>
  <si>
    <t>ccoff</t>
  </si>
  <si>
    <t>cocrp</t>
  </si>
  <si>
    <t>ccatt</t>
  </si>
  <si>
    <t>cpoul</t>
  </si>
  <si>
    <t>coliv</t>
  </si>
  <si>
    <t>cfore</t>
  </si>
  <si>
    <t>cfish</t>
  </si>
  <si>
    <t>cmine</t>
  </si>
  <si>
    <t>cfood</t>
  </si>
  <si>
    <t>cbeve</t>
  </si>
  <si>
    <t>ctext</t>
  </si>
  <si>
    <t>cwood</t>
  </si>
  <si>
    <t>cchem</t>
  </si>
  <si>
    <t>cnmet</t>
  </si>
  <si>
    <t>cmetl</t>
  </si>
  <si>
    <t>cmach</t>
  </si>
  <si>
    <t>coman</t>
  </si>
  <si>
    <t>celec</t>
  </si>
  <si>
    <t>cwatr</t>
  </si>
  <si>
    <t>ccons</t>
  </si>
  <si>
    <t>ctrad</t>
  </si>
  <si>
    <t>ctran</t>
  </si>
  <si>
    <t>chotl</t>
  </si>
  <si>
    <t>ccomm</t>
  </si>
  <si>
    <t>cfsrv</t>
  </si>
  <si>
    <t>creal</t>
  </si>
  <si>
    <t>cbsrv</t>
  </si>
  <si>
    <t>cpadm</t>
  </si>
  <si>
    <t>ceduc</t>
  </si>
  <si>
    <t>cheal</t>
  </si>
  <si>
    <t>cosrv</t>
  </si>
  <si>
    <t>trc</t>
  </si>
  <si>
    <t>flab-n</t>
  </si>
  <si>
    <t>flab-p</t>
  </si>
  <si>
    <t>flab-s</t>
  </si>
  <si>
    <t>flnd</t>
  </si>
  <si>
    <t>fcap</t>
  </si>
  <si>
    <t>ent</t>
  </si>
  <si>
    <t>hhd-r1</t>
  </si>
  <si>
    <t>hhd-r2</t>
  </si>
  <si>
    <t>hhd-r3</t>
  </si>
  <si>
    <t>hhd-r4</t>
  </si>
  <si>
    <t>hhd-r5</t>
  </si>
  <si>
    <t>hhd-u1</t>
  </si>
  <si>
    <t>hhd-u2</t>
  </si>
  <si>
    <t>hhd-u3</t>
  </si>
  <si>
    <t>hhd-u4</t>
  </si>
  <si>
    <t>hhd-u5</t>
  </si>
  <si>
    <t>gov</t>
  </si>
  <si>
    <t>dtax</t>
  </si>
  <si>
    <t>ftax</t>
  </si>
  <si>
    <t>mtax</t>
  </si>
  <si>
    <t>stax</t>
  </si>
  <si>
    <t>s-i</t>
  </si>
  <si>
    <t>row</t>
  </si>
  <si>
    <t>total</t>
  </si>
  <si>
    <t>Activities - Maize</t>
  </si>
  <si>
    <t>Activities - Rice</t>
  </si>
  <si>
    <t>Activities - Other cereals</t>
  </si>
  <si>
    <t>Activities - Pulses</t>
  </si>
  <si>
    <t>Activities - Oilseeds</t>
  </si>
  <si>
    <t>Activities - Roots</t>
  </si>
  <si>
    <t>Activities - Vegetables</t>
  </si>
  <si>
    <t>Activities - Sugarcane</t>
  </si>
  <si>
    <t>Activities - Tobacco</t>
  </si>
  <si>
    <t>Activities - Fruits and nuts</t>
  </si>
  <si>
    <t>Activities - Other crops</t>
  </si>
  <si>
    <t>Activities - Cattle and raw milk</t>
  </si>
  <si>
    <t>Activities - Poultry and eggs</t>
  </si>
  <si>
    <t>Activities - Other livestock</t>
  </si>
  <si>
    <t>Activities - Forestry</t>
  </si>
  <si>
    <t>Activities - Fisheries</t>
  </si>
  <si>
    <t>Activities - Mining</t>
  </si>
  <si>
    <t>Activities - Processed foods</t>
  </si>
  <si>
    <t>Activities - Beverage and tobacco</t>
  </si>
  <si>
    <t>Activities - Wood and paper products</t>
  </si>
  <si>
    <t>Activities - Chemicals and petroleum</t>
  </si>
  <si>
    <t>Activities - Non-metal minerals</t>
  </si>
  <si>
    <t>Activities - Metals and metal products</t>
  </si>
  <si>
    <t>Activities - Other manufacturing</t>
  </si>
  <si>
    <t>Activities - Water supply and sewage</t>
  </si>
  <si>
    <t>Activities - Construction</t>
  </si>
  <si>
    <t>Activities - Wholesale and retail trade</t>
  </si>
  <si>
    <t>Activities - Transportation and storage</t>
  </si>
  <si>
    <t>Activities - Accommodation and food services</t>
  </si>
  <si>
    <t>Activities - Information and communication</t>
  </si>
  <si>
    <t>Activities - Finance and insurance</t>
  </si>
  <si>
    <t>Activities - Real estate activities</t>
  </si>
  <si>
    <t>Activities - Business services</t>
  </si>
  <si>
    <t>Activities - Public administration</t>
  </si>
  <si>
    <t>Activities - Education</t>
  </si>
  <si>
    <t>Activities - Health and social work</t>
  </si>
  <si>
    <t>Activities - Other services</t>
  </si>
  <si>
    <t>Commodities - Maize</t>
  </si>
  <si>
    <t>Commodities - Rice</t>
  </si>
  <si>
    <t>Commodities - Other cereals</t>
  </si>
  <si>
    <t>Commodities - Pulses</t>
  </si>
  <si>
    <t>Commodities - Oilseeds</t>
  </si>
  <si>
    <t>Commodities - Roots</t>
  </si>
  <si>
    <t>Commodities - Vegetables</t>
  </si>
  <si>
    <t>Commodities - Sugarcane</t>
  </si>
  <si>
    <t>Commodities - Tobacco</t>
  </si>
  <si>
    <t>Commodities - Fruits and nuts</t>
  </si>
  <si>
    <t>Commodities - Other crops</t>
  </si>
  <si>
    <t>Commodities - Cattle and raw milk</t>
  </si>
  <si>
    <t>Commodities - Poultry and eggs</t>
  </si>
  <si>
    <t>Commodities - Other livestock</t>
  </si>
  <si>
    <t>Commodities - Forestry</t>
  </si>
  <si>
    <t>Commodities - Fisheries</t>
  </si>
  <si>
    <t>Commodities - Mining</t>
  </si>
  <si>
    <t>Commodities - Processed foods</t>
  </si>
  <si>
    <t>Commodities - Beverage and tobacco</t>
  </si>
  <si>
    <t>Commodities - Wood and paper products</t>
  </si>
  <si>
    <t>Commodities - Chemicals and petroleum</t>
  </si>
  <si>
    <t>Commodities - Non-metal minerals</t>
  </si>
  <si>
    <t>Commodities - Metals and metal products</t>
  </si>
  <si>
    <t>Commodities - Other manufacturing</t>
  </si>
  <si>
    <t>Commodities - Water supply and sewage</t>
  </si>
  <si>
    <t>Commodities - Construction</t>
  </si>
  <si>
    <t>Commodities - Wholesale and retail trade</t>
  </si>
  <si>
    <t>Commodities - Transportation and storage</t>
  </si>
  <si>
    <t>Commodities - Accommodation and food services</t>
  </si>
  <si>
    <t>Commodities - Information and communication</t>
  </si>
  <si>
    <t>Commodities - Finance and insurance</t>
  </si>
  <si>
    <t>Commodities - Real estate activities</t>
  </si>
  <si>
    <t>Commodities - Business services</t>
  </si>
  <si>
    <t>Commodities - Public administration</t>
  </si>
  <si>
    <t>Commodities - Education</t>
  </si>
  <si>
    <t>Commodities - Health and social work</t>
  </si>
  <si>
    <t>Commodities - Other services</t>
  </si>
  <si>
    <t>Transaction costs</t>
  </si>
  <si>
    <t>Factors - Labor - Low (not finished primary schooling)</t>
  </si>
  <si>
    <t>Factors - Labor - High (finished secondary and/or tertiary schooling)</t>
  </si>
  <si>
    <t>Factors - Agricultural land</t>
  </si>
  <si>
    <t>Factors - Capital</t>
  </si>
  <si>
    <t>Enterprises</t>
  </si>
  <si>
    <t>Households - Rural (quintile 1)</t>
  </si>
  <si>
    <t>Households - Rural (quintile 2)</t>
  </si>
  <si>
    <t>Households - Rural (quintile 3)</t>
  </si>
  <si>
    <t>Households - Rural (quintile 4)</t>
  </si>
  <si>
    <t>Households - Rural (quintile 5)</t>
  </si>
  <si>
    <t>Households - Urban (quintile 1)</t>
  </si>
  <si>
    <t>Households - Urban (quintile 2)</t>
  </si>
  <si>
    <t>Households - Urban (quintile 3)</t>
  </si>
  <si>
    <t>Households - Urban (quintile 4)</t>
  </si>
  <si>
    <t>Households - Urban (quintile 5)</t>
  </si>
  <si>
    <t>Government</t>
  </si>
  <si>
    <t>Taxes - Direct (personal or corporate)</t>
  </si>
  <si>
    <t>Taxes - Factors</t>
  </si>
  <si>
    <t>Taxes - Imports (products)</t>
  </si>
  <si>
    <t>Savings-investment</t>
  </si>
  <si>
    <t>Rest of world</t>
  </si>
  <si>
    <t>Total</t>
  </si>
  <si>
    <t>Activities - Coffee,  tea and cocoa</t>
  </si>
  <si>
    <t>Activities - Textiles,  clothing and footwear</t>
  </si>
  <si>
    <t>Activities - Machinery,  equipment and vehicles</t>
  </si>
  <si>
    <t>Activities - Electricity,  gas and steam</t>
  </si>
  <si>
    <t>Commodities - Coffee,  tea and cocoa</t>
  </si>
  <si>
    <t>Commodities - Textiles, clothing and footwear</t>
  </si>
  <si>
    <t>Commodities - Machinery,  equipment and vehicles</t>
  </si>
  <si>
    <t>Commodities - Electricity,  gas and steam</t>
  </si>
  <si>
    <t>Factors - Labor - Medium (finished primary,  but not finished secondary schooling)</t>
  </si>
  <si>
    <t>Taxes - Sales,  excise and/or value-added (products)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</si>
</sst>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9" fontId="0" fillId="0" borderId="0" xfId="1" applyFont="1"/>
    <xf numFmtId="0" fontId="0" fillId="33" borderId="0" xfId="0" applyFill="1"/>
    <xf numFmtId="11" fontId="0" fillId="33" borderId="0" xfId="0" applyNumberFormat="1" applyFill="1"/>
    <xf numFmtId="0" fontId="0" fillId="34" borderId="0" xfId="0" applyFill="1"/>
    <xf numFmtId="0" fontId="0" fillId="0" borderId="0" xfId="0" applyFill="1"/>
    <xf numFmtId="0" fontId="16" fillId="0" borderId="0" xfId="0" applyFont="1"/>
  </cellXfs>
  <cellStyles count="43">
    <cellStyle name="20 % - Accent1" xfId="20" builtinId="30" customBuiltin="1"/>
    <cellStyle name="20 % - Accent2" xfId="24" builtinId="34" customBuiltin="1"/>
    <cellStyle name="20 % - Accent3" xfId="28" builtinId="38" customBuiltin="1"/>
    <cellStyle name="20 % - Accent4" xfId="32" builtinId="42" customBuiltin="1"/>
    <cellStyle name="20 % - Accent5" xfId="36" builtinId="46" customBuiltin="1"/>
    <cellStyle name="20 % - Accent6" xfId="40" builtinId="50" customBuiltin="1"/>
    <cellStyle name="40 % - Accent1" xfId="21" builtinId="31" customBuiltin="1"/>
    <cellStyle name="40 % - Accent2" xfId="25" builtinId="35" customBuiltin="1"/>
    <cellStyle name="40 % - Accent3" xfId="29" builtinId="39" customBuiltin="1"/>
    <cellStyle name="40 % - Accent4" xfId="33" builtinId="43" customBuiltin="1"/>
    <cellStyle name="40 % - Accent5" xfId="37" builtinId="47" customBuiltin="1"/>
    <cellStyle name="40 % - Accent6" xfId="41" builtinId="51" customBuiltin="1"/>
    <cellStyle name="60 % - Accent1" xfId="22" builtinId="32" customBuiltin="1"/>
    <cellStyle name="60 % - Accent2" xfId="26" builtinId="36" customBuiltin="1"/>
    <cellStyle name="60 % - Accent3" xfId="30" builtinId="40" customBuiltin="1"/>
    <cellStyle name="60 % - Accent4" xfId="34" builtinId="44" customBuiltin="1"/>
    <cellStyle name="60 % - Accent5" xfId="38" builtinId="48" customBuiltin="1"/>
    <cellStyle name="60 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Avertissement" xfId="15" builtinId="11" customBuiltin="1"/>
    <cellStyle name="Calcul" xfId="12" builtinId="22" customBuiltin="1"/>
    <cellStyle name="Cellule liée" xfId="13" builtinId="24" customBuiltin="1"/>
    <cellStyle name="Entrée" xfId="10" builtinId="20" customBuiltin="1"/>
    <cellStyle name="Insatisfaisant" xfId="8" builtinId="27" customBuiltin="1"/>
    <cellStyle name="Neutre" xfId="9" builtinId="28" customBuiltin="1"/>
    <cellStyle name="Normal" xfId="0" builtinId="0"/>
    <cellStyle name="Note" xfId="16" builtinId="10" customBuiltin="1"/>
    <cellStyle name="Pourcentage" xfId="1" builtinId="5"/>
    <cellStyle name="Satisfaisant" xfId="7" builtinId="26" customBuiltin="1"/>
    <cellStyle name="Sortie" xfId="11" builtinId="21" customBuiltin="1"/>
    <cellStyle name="Texte explicatif" xfId="17" builtinId="53" customBuiltin="1"/>
    <cellStyle name="Titre" xfId="2" builtinId="15" customBuiltin="1"/>
    <cellStyle name="Titre 1" xfId="3" builtinId="16" customBuiltin="1"/>
    <cellStyle name="Titre 2" xfId="4" builtinId="17" customBuiltin="1"/>
    <cellStyle name="Titre 3" xfId="5" builtinId="18" customBuiltin="1"/>
    <cellStyle name="Titre 4" xfId="6" builtinId="19" customBuiltin="1"/>
    <cellStyle name="Total" xfId="18" builtinId="25" customBuiltin="1"/>
    <cellStyle name="Vérification" xfId="14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G111"/>
  <sheetViews>
    <sheetView zoomScale="39" zoomScaleNormal="65" workbookViewId="0">
      <pane xSplit="2" ySplit="1" topLeftCell="BL58" activePane="bottomRight" state="frozen"/>
      <selection pane="topRight" activeCell="C1" sqref="C1"/>
      <selection pane="bottomLeft" activeCell="A2" sqref="A2"/>
      <selection pane="bottomRight" activeCell="BO109" sqref="BO109"/>
    </sheetView>
  </sheetViews>
  <sheetFormatPr baseColWidth="10" defaultRowHeight="14.5" x14ac:dyDescent="0.35"/>
  <cols>
    <col min="1" max="1" width="74.54296875" customWidth="1"/>
  </cols>
  <sheetData>
    <row r="1" spans="1:10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s="4" t="s">
        <v>73</v>
      </c>
      <c r="BW1" s="4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</row>
    <row r="2" spans="1:109" x14ac:dyDescent="0.35">
      <c r="A2" t="s">
        <v>109</v>
      </c>
      <c r="B2" t="s">
        <v>2</v>
      </c>
      <c r="AR2" s="2">
        <v>58.988235580000001</v>
      </c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N2">
        <v>2.2264319029999999</v>
      </c>
      <c r="CO2">
        <v>4.0894676920000004</v>
      </c>
      <c r="CP2">
        <v>4.3566971130000001</v>
      </c>
      <c r="CQ2">
        <v>5.4191952969999999</v>
      </c>
      <c r="CR2">
        <v>2.454767468</v>
      </c>
      <c r="CS2">
        <v>2.3557267999999999E-2</v>
      </c>
      <c r="CT2">
        <v>6.4754592999999999E-2</v>
      </c>
      <c r="CU2">
        <v>8.0528274999999996E-2</v>
      </c>
      <c r="CV2">
        <v>0.121572688</v>
      </c>
      <c r="CW2">
        <v>0.16929471900000001</v>
      </c>
      <c r="DE2">
        <v>77.994502600000004</v>
      </c>
    </row>
    <row r="3" spans="1:109" x14ac:dyDescent="0.35">
      <c r="A3" t="s">
        <v>110</v>
      </c>
      <c r="B3" t="s">
        <v>3</v>
      </c>
      <c r="AR3" s="2"/>
      <c r="AS3" s="2">
        <v>56.543992889999998</v>
      </c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DE3">
        <v>56.543992889999998</v>
      </c>
    </row>
    <row r="4" spans="1:109" x14ac:dyDescent="0.35">
      <c r="A4" t="s">
        <v>111</v>
      </c>
      <c r="B4" t="s">
        <v>4</v>
      </c>
      <c r="AR4" s="2"/>
      <c r="AS4" s="2"/>
      <c r="AT4" s="2">
        <v>42.48789541</v>
      </c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N4">
        <v>4.2362028000000003E-2</v>
      </c>
      <c r="CO4">
        <v>0.11628884</v>
      </c>
      <c r="CP4">
        <v>5.6586966000000002E-2</v>
      </c>
      <c r="CQ4">
        <v>1.9183625999999999E-2</v>
      </c>
      <c r="CR4">
        <v>4.5803029000000002E-2</v>
      </c>
      <c r="CS4">
        <v>3.1728490000000002E-3</v>
      </c>
      <c r="CT4">
        <v>2.8792542000000001E-2</v>
      </c>
      <c r="CU4">
        <v>1.6336549999999999E-3</v>
      </c>
      <c r="CV4">
        <v>3.4551028999999997E-2</v>
      </c>
      <c r="CW4">
        <v>5.7742282999999998E-2</v>
      </c>
      <c r="DE4">
        <v>42.894012259999997</v>
      </c>
    </row>
    <row r="5" spans="1:109" x14ac:dyDescent="0.35">
      <c r="A5" t="s">
        <v>112</v>
      </c>
      <c r="B5" t="s">
        <v>5</v>
      </c>
      <c r="AR5" s="2"/>
      <c r="AS5" s="2"/>
      <c r="AT5" s="2"/>
      <c r="AU5" s="2">
        <v>101.7889696</v>
      </c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N5">
        <v>4.4168143649999996</v>
      </c>
      <c r="CO5">
        <v>7.4690536119999997</v>
      </c>
      <c r="CP5">
        <v>9.6038582560000005</v>
      </c>
      <c r="CQ5">
        <v>11.639869729999999</v>
      </c>
      <c r="CR5">
        <v>6.5629807060000003</v>
      </c>
      <c r="CS5">
        <v>0.10248030299999999</v>
      </c>
      <c r="CT5">
        <v>0.20133415800000001</v>
      </c>
      <c r="CU5">
        <v>0.35447638300000001</v>
      </c>
      <c r="CV5">
        <v>0.58168487199999996</v>
      </c>
      <c r="CW5">
        <v>1.2794486009999999</v>
      </c>
      <c r="DE5">
        <v>144.00097049999999</v>
      </c>
    </row>
    <row r="6" spans="1:109" x14ac:dyDescent="0.35">
      <c r="A6" t="s">
        <v>113</v>
      </c>
      <c r="B6" t="s">
        <v>6</v>
      </c>
      <c r="AR6" s="2"/>
      <c r="AS6" s="2"/>
      <c r="AT6" s="2"/>
      <c r="AU6" s="2"/>
      <c r="AV6" s="2">
        <v>74.790239119999995</v>
      </c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N6">
        <v>0.115867445</v>
      </c>
      <c r="CO6">
        <v>0.43256105500000003</v>
      </c>
      <c r="CP6">
        <v>0.33289770000000002</v>
      </c>
      <c r="CQ6">
        <v>1.540491995</v>
      </c>
      <c r="CR6">
        <v>0.82888677399999999</v>
      </c>
      <c r="CV6">
        <v>1.3034782999999999E-2</v>
      </c>
      <c r="CW6">
        <v>0.20636406299999999</v>
      </c>
      <c r="DE6">
        <v>78.260342940000001</v>
      </c>
    </row>
    <row r="7" spans="1:109" x14ac:dyDescent="0.35">
      <c r="A7" t="s">
        <v>114</v>
      </c>
      <c r="B7" t="s">
        <v>7</v>
      </c>
      <c r="AR7" s="2"/>
      <c r="AS7" s="2"/>
      <c r="AT7" s="2"/>
      <c r="AU7" s="2"/>
      <c r="AV7" s="2"/>
      <c r="AW7" s="2">
        <v>217.34475620000001</v>
      </c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N7">
        <v>19.157509699999999</v>
      </c>
      <c r="CO7">
        <v>38.821705489999999</v>
      </c>
      <c r="CP7">
        <v>52.169188699999999</v>
      </c>
      <c r="CQ7">
        <v>61.661428880000003</v>
      </c>
      <c r="CR7">
        <v>32.757051320000002</v>
      </c>
      <c r="CS7">
        <v>0.340469939</v>
      </c>
      <c r="CT7">
        <v>1.2933842090000001</v>
      </c>
      <c r="CU7">
        <v>1.487911905</v>
      </c>
      <c r="CV7">
        <v>1.7519966039999999</v>
      </c>
      <c r="CW7">
        <v>3.0060322419999999</v>
      </c>
      <c r="DE7">
        <v>429.79143520000002</v>
      </c>
    </row>
    <row r="8" spans="1:109" x14ac:dyDescent="0.35">
      <c r="A8" t="s">
        <v>115</v>
      </c>
      <c r="B8" t="s">
        <v>8</v>
      </c>
      <c r="AR8" s="2"/>
      <c r="AS8" s="2"/>
      <c r="AT8" s="2"/>
      <c r="AU8" s="2"/>
      <c r="AV8" s="2"/>
      <c r="AW8" s="2"/>
      <c r="AX8" s="2">
        <v>105.46440029999999</v>
      </c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N8">
        <v>1.882032065</v>
      </c>
      <c r="CO8">
        <v>2.134564594</v>
      </c>
      <c r="CP8">
        <v>2.4826772539999999</v>
      </c>
      <c r="CQ8">
        <v>2.4161027110000002</v>
      </c>
      <c r="CR8">
        <v>1.3490656130000001</v>
      </c>
      <c r="CS8">
        <v>0.107151089</v>
      </c>
      <c r="CT8">
        <v>0.13624044799999999</v>
      </c>
      <c r="CU8">
        <v>0.18286766199999999</v>
      </c>
      <c r="CV8">
        <v>0.21189401899999999</v>
      </c>
      <c r="CW8">
        <v>0.38593564699999999</v>
      </c>
      <c r="DE8">
        <v>116.75293139999999</v>
      </c>
    </row>
    <row r="9" spans="1:109" x14ac:dyDescent="0.35">
      <c r="A9" t="s">
        <v>116</v>
      </c>
      <c r="B9" t="s">
        <v>9</v>
      </c>
      <c r="AR9" s="2"/>
      <c r="AS9" s="2"/>
      <c r="AT9" s="2"/>
      <c r="AU9" s="2"/>
      <c r="AV9" s="2"/>
      <c r="AW9" s="2"/>
      <c r="AX9" s="2"/>
      <c r="AY9" s="2">
        <v>34.506354739999999</v>
      </c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DE9">
        <v>34.506354739999999</v>
      </c>
    </row>
    <row r="10" spans="1:109" x14ac:dyDescent="0.35">
      <c r="A10" t="s">
        <v>117</v>
      </c>
      <c r="B10" t="s">
        <v>10</v>
      </c>
      <c r="AR10" s="2"/>
      <c r="AS10" s="2"/>
      <c r="AT10" s="2"/>
      <c r="AU10" s="2"/>
      <c r="AV10" s="2"/>
      <c r="AW10" s="2"/>
      <c r="AX10" s="2"/>
      <c r="AY10" s="2"/>
      <c r="AZ10" s="2">
        <v>6.3144131200000002</v>
      </c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DE10">
        <v>6.3144131200000002</v>
      </c>
    </row>
    <row r="11" spans="1:109" x14ac:dyDescent="0.35">
      <c r="A11" t="s">
        <v>118</v>
      </c>
      <c r="B11" t="s">
        <v>11</v>
      </c>
      <c r="AR11" s="2"/>
      <c r="AS11" s="2"/>
      <c r="AT11" s="2"/>
      <c r="AU11" s="2"/>
      <c r="AV11" s="2"/>
      <c r="AW11" s="2"/>
      <c r="AX11" s="2"/>
      <c r="AY11" s="2"/>
      <c r="AZ11" s="2"/>
      <c r="BA11" s="2">
        <v>373.34112529999999</v>
      </c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N11">
        <v>9.1363313789999996</v>
      </c>
      <c r="CO11">
        <v>20.294001089999998</v>
      </c>
      <c r="CP11">
        <v>32.179514830000002</v>
      </c>
      <c r="CQ11">
        <v>53.090231760000002</v>
      </c>
      <c r="CR11">
        <v>40.862633629999998</v>
      </c>
      <c r="CS11">
        <v>0.19135601799999999</v>
      </c>
      <c r="CT11">
        <v>0.69713994000000001</v>
      </c>
      <c r="CU11">
        <v>2.3298225029999999</v>
      </c>
      <c r="CV11">
        <v>3.1619839079999998</v>
      </c>
      <c r="CW11">
        <v>10.03247681</v>
      </c>
      <c r="DE11">
        <v>545.31661710000003</v>
      </c>
    </row>
    <row r="12" spans="1:109" x14ac:dyDescent="0.35">
      <c r="A12" t="s">
        <v>206</v>
      </c>
      <c r="B12" t="s">
        <v>12</v>
      </c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>
        <v>183.426255</v>
      </c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DE12">
        <v>183.426255</v>
      </c>
    </row>
    <row r="13" spans="1:109" x14ac:dyDescent="0.35">
      <c r="A13" t="s">
        <v>119</v>
      </c>
      <c r="B13" t="s">
        <v>13</v>
      </c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>
        <v>29.647270819999999</v>
      </c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2"/>
      <c r="CE13" s="2"/>
      <c r="CF13" s="2"/>
      <c r="CN13">
        <v>1.3392895E-2</v>
      </c>
      <c r="CO13">
        <v>3.1501328000000002E-2</v>
      </c>
      <c r="CP13">
        <v>2.8290999999999999E-4</v>
      </c>
      <c r="CQ13">
        <v>0.45666024100000002</v>
      </c>
      <c r="CR13">
        <v>0.35793821799999997</v>
      </c>
      <c r="CW13">
        <v>8.9486651E-2</v>
      </c>
      <c r="DE13">
        <v>30.596533059999999</v>
      </c>
    </row>
    <row r="14" spans="1:109" x14ac:dyDescent="0.35">
      <c r="A14" t="s">
        <v>120</v>
      </c>
      <c r="B14" t="s">
        <v>14</v>
      </c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>
        <v>258.75923499999999</v>
      </c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N14">
        <v>0.40180027400000001</v>
      </c>
      <c r="CO14">
        <v>2.5462272960000001</v>
      </c>
      <c r="CP14">
        <v>4.8496759090000001</v>
      </c>
      <c r="CQ14">
        <v>12.19923775</v>
      </c>
      <c r="CR14">
        <v>13.04267181</v>
      </c>
      <c r="CS14">
        <v>1.8716791E-2</v>
      </c>
      <c r="CT14">
        <v>0.21011372</v>
      </c>
      <c r="CU14">
        <v>0.38264272700000002</v>
      </c>
      <c r="CV14">
        <v>1.092542272</v>
      </c>
      <c r="CW14">
        <v>4.3101229679999999</v>
      </c>
      <c r="DE14">
        <v>297.81298659999999</v>
      </c>
    </row>
    <row r="15" spans="1:109" x14ac:dyDescent="0.35">
      <c r="A15" t="s">
        <v>121</v>
      </c>
      <c r="B15" t="s">
        <v>15</v>
      </c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>
        <v>38.163524950000003</v>
      </c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  <c r="BS15" s="2"/>
      <c r="BT15" s="2"/>
      <c r="BU15" s="2"/>
      <c r="BV15" s="2"/>
      <c r="BW15" s="2"/>
      <c r="BX15" s="2"/>
      <c r="BY15" s="2"/>
      <c r="BZ15" s="2"/>
      <c r="CA15" s="2"/>
      <c r="CB15" s="2"/>
      <c r="CC15" s="2"/>
      <c r="CD15" s="2"/>
      <c r="CE15" s="2"/>
      <c r="CF15" s="2"/>
      <c r="CN15">
        <v>0.61064880099999996</v>
      </c>
      <c r="CO15">
        <v>1.343680894</v>
      </c>
      <c r="CP15">
        <v>1.888287185</v>
      </c>
      <c r="CQ15">
        <v>4.2710121159999996</v>
      </c>
      <c r="CR15">
        <v>6.7037910849999998</v>
      </c>
      <c r="CS15">
        <v>2.1143220000000001E-2</v>
      </c>
      <c r="CT15">
        <v>6.9606606000000001E-2</v>
      </c>
      <c r="CU15">
        <v>5.2042008000000001E-2</v>
      </c>
      <c r="CV15">
        <v>9.9889824000000002E-2</v>
      </c>
      <c r="CW15">
        <v>5.8606000219999999</v>
      </c>
      <c r="DE15">
        <v>59.084226710000003</v>
      </c>
    </row>
    <row r="16" spans="1:109" x14ac:dyDescent="0.35">
      <c r="A16" t="s">
        <v>122</v>
      </c>
      <c r="B16" t="s">
        <v>16</v>
      </c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>
        <v>65.093825339999995</v>
      </c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N16">
        <v>0.16636096</v>
      </c>
      <c r="CO16">
        <v>0.26979577900000001</v>
      </c>
      <c r="CP16">
        <v>0.66100341299999998</v>
      </c>
      <c r="CQ16">
        <v>0.318502538</v>
      </c>
      <c r="CR16">
        <v>0.54490029600000001</v>
      </c>
      <c r="CT16">
        <v>3.539978E-3</v>
      </c>
      <c r="CU16">
        <v>1.691854E-3</v>
      </c>
      <c r="CW16">
        <v>3.6687536999999999E-2</v>
      </c>
      <c r="DE16">
        <v>67.096307699999997</v>
      </c>
    </row>
    <row r="17" spans="1:109" x14ac:dyDescent="0.35">
      <c r="A17" t="s">
        <v>123</v>
      </c>
      <c r="B17" t="s">
        <v>17</v>
      </c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>
        <v>62.403407950000002</v>
      </c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N17">
        <v>115.03941260000001</v>
      </c>
      <c r="CO17">
        <v>132.64047210000001</v>
      </c>
      <c r="CP17">
        <v>139.89738879999999</v>
      </c>
      <c r="CQ17">
        <v>137.6614256</v>
      </c>
      <c r="CR17">
        <v>75.526384640000003</v>
      </c>
      <c r="CS17">
        <v>7.1902807529999997</v>
      </c>
      <c r="CT17">
        <v>9.865193562</v>
      </c>
      <c r="CU17">
        <v>14.14384368</v>
      </c>
      <c r="CV17">
        <v>17.712111029999999</v>
      </c>
      <c r="CW17">
        <v>10.98104311</v>
      </c>
      <c r="DE17">
        <v>723.06096379999997</v>
      </c>
    </row>
    <row r="18" spans="1:109" x14ac:dyDescent="0.35">
      <c r="A18" t="s">
        <v>124</v>
      </c>
      <c r="B18" t="s">
        <v>18</v>
      </c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>
        <v>40.661369319999999</v>
      </c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N18">
        <v>0.142212482</v>
      </c>
      <c r="CO18">
        <v>0.35756950599999998</v>
      </c>
      <c r="CP18">
        <v>0.62647461199999999</v>
      </c>
      <c r="CQ18">
        <v>0.411349299</v>
      </c>
      <c r="CR18">
        <v>0.52670054300000002</v>
      </c>
      <c r="DE18">
        <v>42.725675760000001</v>
      </c>
    </row>
    <row r="19" spans="1:109" x14ac:dyDescent="0.35">
      <c r="A19" t="s">
        <v>125</v>
      </c>
      <c r="B19" t="s">
        <v>19</v>
      </c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>
        <v>439.19242969999999</v>
      </c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DE19">
        <v>439.19242969999999</v>
      </c>
    </row>
    <row r="20" spans="1:109" x14ac:dyDescent="0.35">
      <c r="A20" t="s">
        <v>126</v>
      </c>
      <c r="B20" t="s">
        <v>20</v>
      </c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>
        <v>997.58376250000003</v>
      </c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N20">
        <v>1.676023791</v>
      </c>
      <c r="CO20">
        <v>4.5613688090000002</v>
      </c>
      <c r="CP20">
        <v>7.7420724950000004</v>
      </c>
      <c r="CQ20">
        <v>12.758759899999999</v>
      </c>
      <c r="CR20">
        <v>10.39643066</v>
      </c>
      <c r="CS20">
        <v>9.4813172000000001E-2</v>
      </c>
      <c r="CT20">
        <v>5.2743173999999997E-2</v>
      </c>
      <c r="CU20">
        <v>0.461900649</v>
      </c>
      <c r="CV20">
        <v>0.73807120900000001</v>
      </c>
      <c r="CW20">
        <v>0.84527124799999998</v>
      </c>
      <c r="DE20">
        <v>1036.911218</v>
      </c>
    </row>
    <row r="21" spans="1:109" x14ac:dyDescent="0.35">
      <c r="A21" t="s">
        <v>127</v>
      </c>
      <c r="B21" t="s">
        <v>21</v>
      </c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>
        <v>326.1213108</v>
      </c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N21">
        <v>3.750647265</v>
      </c>
      <c r="CO21">
        <v>8.8438736559999995</v>
      </c>
      <c r="CP21">
        <v>20.910387780000001</v>
      </c>
      <c r="CQ21">
        <v>48.07697177</v>
      </c>
      <c r="CR21">
        <v>46.978819510000001</v>
      </c>
      <c r="CT21">
        <v>1.1556273130000001</v>
      </c>
      <c r="CU21">
        <v>0.83935028300000003</v>
      </c>
      <c r="CV21">
        <v>1.2907429669999999</v>
      </c>
      <c r="CW21">
        <v>11.483686130000001</v>
      </c>
      <c r="DE21">
        <v>469.45141749999999</v>
      </c>
    </row>
    <row r="22" spans="1:109" x14ac:dyDescent="0.35">
      <c r="A22" t="s">
        <v>207</v>
      </c>
      <c r="B22" t="s">
        <v>22</v>
      </c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>
        <v>196.9858792</v>
      </c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DE22">
        <v>196.9858792</v>
      </c>
    </row>
    <row r="23" spans="1:109" x14ac:dyDescent="0.35">
      <c r="A23" t="s">
        <v>128</v>
      </c>
      <c r="B23" t="s">
        <v>23</v>
      </c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>
        <v>83.609227259999997</v>
      </c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DE23">
        <v>83.609227259999997</v>
      </c>
    </row>
    <row r="24" spans="1:109" x14ac:dyDescent="0.35">
      <c r="A24" t="s">
        <v>129</v>
      </c>
      <c r="B24" t="s">
        <v>24</v>
      </c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>
        <v>220.4504914</v>
      </c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DE24">
        <v>220.4504914</v>
      </c>
    </row>
    <row r="25" spans="1:109" x14ac:dyDescent="0.35">
      <c r="A25" t="s">
        <v>130</v>
      </c>
      <c r="B25" t="s">
        <v>25</v>
      </c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>
        <v>116.1870248</v>
      </c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DE25">
        <v>116.1870248</v>
      </c>
    </row>
    <row r="26" spans="1:109" x14ac:dyDescent="0.35">
      <c r="A26" t="s">
        <v>131</v>
      </c>
      <c r="B26" t="s">
        <v>26</v>
      </c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>
        <v>95.832709679999994</v>
      </c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DE26">
        <v>95.832709679999994</v>
      </c>
    </row>
    <row r="27" spans="1:109" x14ac:dyDescent="0.35">
      <c r="A27" t="s">
        <v>208</v>
      </c>
      <c r="B27" t="s">
        <v>27</v>
      </c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>
        <v>156.570446</v>
      </c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2"/>
      <c r="CE27" s="2"/>
      <c r="CF27" s="2"/>
      <c r="DE27">
        <v>156.570446</v>
      </c>
    </row>
    <row r="28" spans="1:109" x14ac:dyDescent="0.35">
      <c r="A28" t="s">
        <v>132</v>
      </c>
      <c r="B28" t="s">
        <v>28</v>
      </c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>
        <v>41.230400709999998</v>
      </c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DE28">
        <v>41.230400709999998</v>
      </c>
    </row>
    <row r="29" spans="1:109" x14ac:dyDescent="0.35">
      <c r="A29" t="s">
        <v>209</v>
      </c>
      <c r="B29" t="s">
        <v>29</v>
      </c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>
        <v>189.73319430000001</v>
      </c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DE29">
        <v>189.73319430000001</v>
      </c>
    </row>
    <row r="30" spans="1:109" x14ac:dyDescent="0.35">
      <c r="A30" t="s">
        <v>133</v>
      </c>
      <c r="B30" t="s">
        <v>30</v>
      </c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>
        <v>103.4146506</v>
      </c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DE30">
        <v>103.4146506</v>
      </c>
    </row>
    <row r="31" spans="1:109" x14ac:dyDescent="0.35">
      <c r="A31" t="s">
        <v>134</v>
      </c>
      <c r="B31" t="s">
        <v>31</v>
      </c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>
        <v>2138.610725</v>
      </c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DE31">
        <v>2138.610725</v>
      </c>
    </row>
    <row r="32" spans="1:109" x14ac:dyDescent="0.35">
      <c r="A32" t="s">
        <v>135</v>
      </c>
      <c r="B32" t="s">
        <v>32</v>
      </c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>
        <v>1764.6925229999999</v>
      </c>
      <c r="BW32" s="2"/>
      <c r="BX32" s="2"/>
      <c r="BY32" s="2"/>
      <c r="BZ32" s="2"/>
      <c r="CA32" s="2"/>
      <c r="CB32" s="2"/>
      <c r="CC32" s="2"/>
      <c r="CD32" s="2"/>
      <c r="CE32" s="2"/>
      <c r="CF32" s="2"/>
      <c r="DE32">
        <v>1764.6925229999999</v>
      </c>
    </row>
    <row r="33" spans="1:109" x14ac:dyDescent="0.35">
      <c r="A33" t="s">
        <v>136</v>
      </c>
      <c r="B33" t="s">
        <v>33</v>
      </c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>
        <v>1154.7154439999999</v>
      </c>
      <c r="BX33" s="2"/>
      <c r="BY33" s="2"/>
      <c r="BZ33" s="2"/>
      <c r="CA33" s="2"/>
      <c r="CB33" s="2"/>
      <c r="CC33" s="2"/>
      <c r="CD33" s="2"/>
      <c r="CE33" s="2"/>
      <c r="CF33" s="2"/>
      <c r="DE33">
        <v>1154.7154439999999</v>
      </c>
    </row>
    <row r="34" spans="1:109" x14ac:dyDescent="0.35">
      <c r="A34" t="s">
        <v>137</v>
      </c>
      <c r="B34" t="s">
        <v>34</v>
      </c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>
        <v>388.79287579999999</v>
      </c>
      <c r="BY34" s="2"/>
      <c r="BZ34" s="2"/>
      <c r="CA34" s="2"/>
      <c r="CB34" s="2"/>
      <c r="CC34" s="2"/>
      <c r="CD34" s="2"/>
      <c r="CE34" s="2"/>
      <c r="CF34" s="2"/>
      <c r="DE34">
        <v>388.79287579999999</v>
      </c>
    </row>
    <row r="35" spans="1:109" x14ac:dyDescent="0.35">
      <c r="A35" t="s">
        <v>138</v>
      </c>
      <c r="B35" t="s">
        <v>35</v>
      </c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>
        <v>421.01187979999997</v>
      </c>
      <c r="BZ35" s="2"/>
      <c r="CA35" s="2"/>
      <c r="CB35" s="2"/>
      <c r="CC35" s="2"/>
      <c r="CD35" s="2"/>
      <c r="CE35" s="2"/>
      <c r="CF35" s="2"/>
      <c r="DE35">
        <v>421.01187979999997</v>
      </c>
    </row>
    <row r="36" spans="1:109" x14ac:dyDescent="0.35">
      <c r="A36" t="s">
        <v>139</v>
      </c>
      <c r="B36" t="s">
        <v>36</v>
      </c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>
        <v>451.8291011</v>
      </c>
      <c r="CA36" s="2"/>
      <c r="CB36" s="2"/>
      <c r="CC36" s="2"/>
      <c r="CD36" s="2"/>
      <c r="CE36" s="2"/>
      <c r="CF36" s="2"/>
      <c r="DE36">
        <v>451.8291011</v>
      </c>
    </row>
    <row r="37" spans="1:109" x14ac:dyDescent="0.35">
      <c r="A37" t="s">
        <v>140</v>
      </c>
      <c r="B37" t="s">
        <v>37</v>
      </c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>
        <v>717.18315219999999</v>
      </c>
      <c r="CB37" s="2"/>
      <c r="CC37" s="2"/>
      <c r="CD37" s="2"/>
      <c r="CE37" s="2"/>
      <c r="CF37" s="2"/>
      <c r="DE37">
        <v>717.18315219999999</v>
      </c>
    </row>
    <row r="38" spans="1:109" x14ac:dyDescent="0.35">
      <c r="A38" t="s">
        <v>141</v>
      </c>
      <c r="B38" t="s">
        <v>38</v>
      </c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>
        <v>650.1141705</v>
      </c>
      <c r="CC38" s="2"/>
      <c r="CD38" s="2"/>
      <c r="CE38" s="2"/>
      <c r="CF38" s="2"/>
      <c r="DE38">
        <v>650.1141705</v>
      </c>
    </row>
    <row r="39" spans="1:109" x14ac:dyDescent="0.35">
      <c r="A39" t="s">
        <v>142</v>
      </c>
      <c r="B39" t="s">
        <v>39</v>
      </c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>
        <v>1513.4657910000001</v>
      </c>
      <c r="CD39" s="2"/>
      <c r="CE39" s="2"/>
      <c r="CF39" s="2"/>
      <c r="DE39">
        <v>1513.4657910000001</v>
      </c>
    </row>
    <row r="40" spans="1:109" x14ac:dyDescent="0.35">
      <c r="A40" t="s">
        <v>143</v>
      </c>
      <c r="B40" t="s">
        <v>40</v>
      </c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>
        <v>516.78316989999996</v>
      </c>
      <c r="CE40" s="2"/>
      <c r="CF40" s="2"/>
      <c r="DE40">
        <v>516.78316989999996</v>
      </c>
    </row>
    <row r="41" spans="1:109" x14ac:dyDescent="0.35">
      <c r="A41" t="s">
        <v>144</v>
      </c>
      <c r="B41" t="s">
        <v>41</v>
      </c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>
        <v>384.95472690000003</v>
      </c>
      <c r="CF41" s="2"/>
      <c r="DE41">
        <v>384.95472690000003</v>
      </c>
    </row>
    <row r="42" spans="1:109" x14ac:dyDescent="0.35">
      <c r="A42" t="s">
        <v>145</v>
      </c>
      <c r="B42" t="s">
        <v>42</v>
      </c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>
        <v>687.92096579999998</v>
      </c>
      <c r="DE42">
        <v>687.92096579999998</v>
      </c>
    </row>
    <row r="43" spans="1:109" x14ac:dyDescent="0.35">
      <c r="A43" t="s">
        <v>146</v>
      </c>
      <c r="B43" t="s">
        <v>43</v>
      </c>
      <c r="C43" s="2">
        <v>0.99200952200000003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>
        <v>3.85241787</v>
      </c>
      <c r="P43" s="2">
        <v>2.220261582</v>
      </c>
      <c r="Q43" s="2">
        <v>1.158011302</v>
      </c>
      <c r="R43" s="2"/>
      <c r="S43" s="2"/>
      <c r="T43" s="2"/>
      <c r="U43" s="2">
        <v>19.803966389999999</v>
      </c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>
        <v>0.59576221200000001</v>
      </c>
      <c r="AJ43" s="2"/>
      <c r="AK43" s="2"/>
      <c r="AL43" s="2"/>
      <c r="AM43" s="2"/>
      <c r="AN43" s="2"/>
      <c r="AO43" s="2"/>
      <c r="AP43" s="2"/>
      <c r="AQ43" s="2"/>
      <c r="CN43">
        <v>7.9859727029999998</v>
      </c>
      <c r="CO43">
        <v>10.03095413</v>
      </c>
      <c r="CP43">
        <v>10.42208323</v>
      </c>
      <c r="CQ43">
        <v>9.4136094929999992</v>
      </c>
      <c r="CR43">
        <v>4.3942245199999999</v>
      </c>
      <c r="CS43">
        <v>0.25027621100000003</v>
      </c>
      <c r="CT43">
        <v>0.35849044899999999</v>
      </c>
      <c r="CU43">
        <v>0.36848941499999999</v>
      </c>
      <c r="CV43">
        <v>0.64595400199999997</v>
      </c>
      <c r="CW43">
        <v>1.706193737</v>
      </c>
      <c r="DE43">
        <v>74.198676770000006</v>
      </c>
    </row>
    <row r="44" spans="1:109" x14ac:dyDescent="0.35">
      <c r="A44" t="s">
        <v>147</v>
      </c>
      <c r="B44" t="s">
        <v>44</v>
      </c>
      <c r="C44" s="2"/>
      <c r="D44" s="2">
        <v>0.68121480599999995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>
        <v>2.3425379730000002</v>
      </c>
      <c r="P44" s="2"/>
      <c r="Q44" s="2"/>
      <c r="R44" s="2"/>
      <c r="S44" s="2"/>
      <c r="T44" s="2"/>
      <c r="U44" s="2">
        <v>56.314108560000001</v>
      </c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DE44">
        <v>59.337861340000003</v>
      </c>
    </row>
    <row r="45" spans="1:109" x14ac:dyDescent="0.35">
      <c r="A45" t="s">
        <v>148</v>
      </c>
      <c r="B45" t="s">
        <v>45</v>
      </c>
      <c r="C45" s="2"/>
      <c r="D45" s="2"/>
      <c r="E45" s="2">
        <v>0.52138260999999997</v>
      </c>
      <c r="F45" s="2"/>
      <c r="G45" s="2"/>
      <c r="H45" s="2"/>
      <c r="I45" s="2"/>
      <c r="J45" s="2"/>
      <c r="K45" s="2"/>
      <c r="L45" s="2"/>
      <c r="M45" s="2"/>
      <c r="N45" s="2"/>
      <c r="O45" s="2">
        <v>1.9019501110000001</v>
      </c>
      <c r="P45" s="2"/>
      <c r="Q45" s="2"/>
      <c r="R45" s="2"/>
      <c r="S45" s="2"/>
      <c r="T45" s="2"/>
      <c r="U45" s="2">
        <v>16.154056700000002</v>
      </c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CN45">
        <v>2.9400269739999998</v>
      </c>
      <c r="CO45">
        <v>4.6760814579999996</v>
      </c>
      <c r="CP45">
        <v>7.5956729300000001</v>
      </c>
      <c r="CQ45">
        <v>8.2035369070000002</v>
      </c>
      <c r="CR45">
        <v>7.1049144240000004</v>
      </c>
      <c r="CS45">
        <v>0.133523313</v>
      </c>
      <c r="CT45">
        <v>0.46563694</v>
      </c>
      <c r="CU45">
        <v>0.44398391199999998</v>
      </c>
      <c r="CV45">
        <v>1.083910232</v>
      </c>
      <c r="CW45">
        <v>3.2446148469999998</v>
      </c>
      <c r="DE45">
        <v>54.46929136</v>
      </c>
    </row>
    <row r="46" spans="1:109" x14ac:dyDescent="0.35">
      <c r="A46" t="s">
        <v>149</v>
      </c>
      <c r="B46" t="s">
        <v>46</v>
      </c>
      <c r="C46" s="2"/>
      <c r="D46" s="2"/>
      <c r="E46" s="2"/>
      <c r="F46" s="2">
        <v>1.181387143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>
        <v>7.5141642820000003</v>
      </c>
      <c r="V46" s="2"/>
      <c r="W46" s="2"/>
      <c r="X46" s="2">
        <v>6.8618780000000004E-2</v>
      </c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>
        <v>7.3880050180000003</v>
      </c>
      <c r="AJ46" s="2"/>
      <c r="AK46" s="2"/>
      <c r="AL46" s="2"/>
      <c r="AM46" s="2"/>
      <c r="AN46" s="2"/>
      <c r="AO46" s="2"/>
      <c r="AP46" s="2"/>
      <c r="AQ46" s="2"/>
      <c r="CN46">
        <v>9.5792679970000005</v>
      </c>
      <c r="CO46">
        <v>12.67514989</v>
      </c>
      <c r="CP46">
        <v>15.303317570000001</v>
      </c>
      <c r="CQ46">
        <v>15.23162136</v>
      </c>
      <c r="CR46">
        <v>11.702769869999999</v>
      </c>
      <c r="CS46">
        <v>0.87420503599999999</v>
      </c>
      <c r="CT46">
        <v>1.682222085</v>
      </c>
      <c r="CU46">
        <v>2.435485189</v>
      </c>
      <c r="CV46">
        <v>4.0557655410000004</v>
      </c>
      <c r="CW46">
        <v>16.14406589</v>
      </c>
      <c r="DD46">
        <v>3.629366305</v>
      </c>
      <c r="DE46">
        <v>109.465412</v>
      </c>
    </row>
    <row r="47" spans="1:109" x14ac:dyDescent="0.35">
      <c r="A47" t="s">
        <v>150</v>
      </c>
      <c r="B47" t="s">
        <v>47</v>
      </c>
      <c r="C47" s="2"/>
      <c r="D47" s="2"/>
      <c r="E47" s="2"/>
      <c r="F47" s="2"/>
      <c r="G47" s="2">
        <v>9.0655090890000007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>
        <v>72.898416769999997</v>
      </c>
      <c r="V47" s="2"/>
      <c r="W47" s="2"/>
      <c r="X47" s="2">
        <v>7.9852689000000004E-2</v>
      </c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>
        <v>1.1862531000000001E-2</v>
      </c>
      <c r="AJ47" s="2"/>
      <c r="AK47" s="2"/>
      <c r="AL47" s="2"/>
      <c r="AM47" s="2"/>
      <c r="AN47" s="2"/>
      <c r="AO47" s="2"/>
      <c r="AP47" s="2"/>
      <c r="AQ47" s="2"/>
      <c r="CN47">
        <v>5.4097671E-2</v>
      </c>
      <c r="CO47">
        <v>0.152316279</v>
      </c>
      <c r="CP47">
        <v>0.27822739000000002</v>
      </c>
      <c r="CQ47">
        <v>0.65105734999999998</v>
      </c>
      <c r="CR47">
        <v>1.5752748830000001</v>
      </c>
      <c r="CS47">
        <v>4.0285105000000002E-2</v>
      </c>
      <c r="CT47">
        <v>0.115495506</v>
      </c>
      <c r="CU47">
        <v>0.26789058999999998</v>
      </c>
      <c r="CV47">
        <v>0.55586090799999999</v>
      </c>
      <c r="CW47">
        <v>8.3922796779999995</v>
      </c>
      <c r="DE47">
        <v>94.138426440000003</v>
      </c>
    </row>
    <row r="48" spans="1:109" x14ac:dyDescent="0.35">
      <c r="A48" t="s">
        <v>151</v>
      </c>
      <c r="B48" t="s">
        <v>48</v>
      </c>
      <c r="C48" s="2"/>
      <c r="D48" s="2"/>
      <c r="E48" s="2"/>
      <c r="F48" s="2"/>
      <c r="G48" s="2"/>
      <c r="H48" s="2">
        <v>5.9681935810000004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>
        <v>34.261580180000003</v>
      </c>
      <c r="V48" s="2">
        <v>31.91140867</v>
      </c>
      <c r="W48" s="2"/>
      <c r="X48" s="2">
        <v>7.1314529000000002E-2</v>
      </c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>
        <v>16.681931980000002</v>
      </c>
      <c r="AJ48" s="2"/>
      <c r="AK48" s="2"/>
      <c r="AL48" s="2"/>
      <c r="AM48" s="2"/>
      <c r="AN48" s="2"/>
      <c r="AO48" s="2"/>
      <c r="AP48" s="2"/>
      <c r="AQ48" s="2"/>
      <c r="CN48">
        <v>22.257547500000001</v>
      </c>
      <c r="CO48">
        <v>24.446219989999999</v>
      </c>
      <c r="CP48">
        <v>26.596302680000001</v>
      </c>
      <c r="CQ48">
        <v>28.008332970000001</v>
      </c>
      <c r="CR48">
        <v>16.311835649999999</v>
      </c>
      <c r="CS48">
        <v>2.0964642709999999</v>
      </c>
      <c r="CT48">
        <v>3.5290655540000002</v>
      </c>
      <c r="CU48">
        <v>3.844215776</v>
      </c>
      <c r="CV48">
        <v>5.7512587379999998</v>
      </c>
      <c r="CW48">
        <v>15.77555768</v>
      </c>
      <c r="DE48">
        <v>237.5112297</v>
      </c>
    </row>
    <row r="49" spans="1:109" x14ac:dyDescent="0.35">
      <c r="A49" t="s">
        <v>152</v>
      </c>
      <c r="B49" t="s">
        <v>49</v>
      </c>
      <c r="C49" s="2"/>
      <c r="D49" s="2"/>
      <c r="E49" s="2"/>
      <c r="F49" s="2"/>
      <c r="G49" s="2"/>
      <c r="H49" s="2"/>
      <c r="I49" s="2">
        <v>0.53067785700000003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CN49">
        <v>9.1852230650000006</v>
      </c>
      <c r="CO49">
        <v>11.00047292</v>
      </c>
      <c r="CP49">
        <v>11.92053857</v>
      </c>
      <c r="CQ49">
        <v>12.230707130000001</v>
      </c>
      <c r="CR49">
        <v>10.15804479</v>
      </c>
      <c r="CS49">
        <v>0.68964064700000005</v>
      </c>
      <c r="CT49">
        <v>1.549142209</v>
      </c>
      <c r="CU49">
        <v>1.989222931</v>
      </c>
      <c r="CV49">
        <v>3.7116988640000002</v>
      </c>
      <c r="CW49">
        <v>18.099556140000001</v>
      </c>
      <c r="DD49">
        <v>34.959713170000001</v>
      </c>
      <c r="DE49">
        <v>116.02463830000001</v>
      </c>
    </row>
    <row r="50" spans="1:109" x14ac:dyDescent="0.35">
      <c r="A50" t="s">
        <v>153</v>
      </c>
      <c r="B50" t="s">
        <v>50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>
        <v>34.873850760000003</v>
      </c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DE50">
        <v>34.873850760000003</v>
      </c>
    </row>
    <row r="51" spans="1:109" x14ac:dyDescent="0.35">
      <c r="A51" t="s">
        <v>154</v>
      </c>
      <c r="B51" t="s">
        <v>51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CN51">
        <v>0.95768024500000004</v>
      </c>
      <c r="CO51">
        <v>1.3030958269999999</v>
      </c>
      <c r="CP51">
        <v>1.433707386</v>
      </c>
      <c r="CQ51">
        <v>1.361644989</v>
      </c>
      <c r="CR51">
        <v>0.71713525499999997</v>
      </c>
      <c r="CS51">
        <v>3.9957617000000001E-2</v>
      </c>
      <c r="CT51">
        <v>5.2593929999999997E-2</v>
      </c>
      <c r="CU51">
        <v>9.4865186000000004E-2</v>
      </c>
      <c r="CV51">
        <v>0.31332427200000001</v>
      </c>
      <c r="CW51">
        <v>0.110263689</v>
      </c>
      <c r="DE51">
        <v>6.3842683960000004</v>
      </c>
    </row>
    <row r="52" spans="1:109" x14ac:dyDescent="0.35">
      <c r="A52" t="s">
        <v>155</v>
      </c>
      <c r="B52" t="s">
        <v>52</v>
      </c>
      <c r="C52" s="2"/>
      <c r="D52" s="2"/>
      <c r="E52" s="2"/>
      <c r="F52" s="2"/>
      <c r="G52" s="2"/>
      <c r="H52" s="2"/>
      <c r="I52" s="2"/>
      <c r="J52" s="2"/>
      <c r="K52" s="2"/>
      <c r="L52" s="2">
        <v>2.2559102110000002</v>
      </c>
      <c r="M52" s="2"/>
      <c r="N52" s="2"/>
      <c r="O52" s="2"/>
      <c r="P52" s="2"/>
      <c r="Q52" s="2"/>
      <c r="R52" s="2"/>
      <c r="S52" s="2"/>
      <c r="T52" s="2"/>
      <c r="U52" s="2">
        <v>0.437168681</v>
      </c>
      <c r="V52" s="2">
        <v>57.870623940000002</v>
      </c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CN52">
        <v>15.59762871</v>
      </c>
      <c r="CO52">
        <v>28.402061830000001</v>
      </c>
      <c r="CP52">
        <v>39.581804750000003</v>
      </c>
      <c r="CQ52">
        <v>57.311196410000001</v>
      </c>
      <c r="CR52">
        <v>55.141500960000002</v>
      </c>
      <c r="CS52">
        <v>1.948841397</v>
      </c>
      <c r="CT52">
        <v>3.5271124359999999</v>
      </c>
      <c r="CU52">
        <v>5.8324999479999997</v>
      </c>
      <c r="CV52">
        <v>16.463600970000002</v>
      </c>
      <c r="CW52">
        <v>109.47746549999999</v>
      </c>
      <c r="DD52">
        <v>13.610620300000001</v>
      </c>
      <c r="DE52">
        <v>407.45803599999999</v>
      </c>
    </row>
    <row r="53" spans="1:109" x14ac:dyDescent="0.35">
      <c r="A53" t="s">
        <v>210</v>
      </c>
      <c r="B53" t="s">
        <v>53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>
        <v>18.74884956</v>
      </c>
      <c r="N53" s="2"/>
      <c r="O53" s="2"/>
      <c r="P53" s="2"/>
      <c r="Q53" s="2"/>
      <c r="R53" s="2"/>
      <c r="S53" s="2"/>
      <c r="T53" s="2"/>
      <c r="U53" s="2">
        <v>7.8242173819999996</v>
      </c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DD53">
        <v>158.0288223</v>
      </c>
      <c r="DE53">
        <v>184.60188930000001</v>
      </c>
    </row>
    <row r="54" spans="1:109" x14ac:dyDescent="0.35">
      <c r="A54" t="s">
        <v>156</v>
      </c>
      <c r="B54" t="s">
        <v>54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CN54">
        <v>7.0778555000000007E-2</v>
      </c>
      <c r="CO54">
        <v>7.5816475999999994E-2</v>
      </c>
      <c r="CP54">
        <v>6.9717337000000004E-2</v>
      </c>
      <c r="CQ54">
        <v>0.109146966</v>
      </c>
      <c r="CR54">
        <v>0.34469965699999999</v>
      </c>
      <c r="CU54">
        <v>4.7165889000000003E-2</v>
      </c>
      <c r="CV54">
        <v>0.12540420399999999</v>
      </c>
      <c r="CW54">
        <v>8.9696377199999997</v>
      </c>
      <c r="DD54">
        <v>20.42809982</v>
      </c>
      <c r="DE54">
        <v>30.240466619999999</v>
      </c>
    </row>
    <row r="55" spans="1:109" x14ac:dyDescent="0.35">
      <c r="A55" t="s">
        <v>157</v>
      </c>
      <c r="B55" t="s">
        <v>55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>
        <v>14.414819680000001</v>
      </c>
      <c r="P55" s="2"/>
      <c r="Q55" s="2"/>
      <c r="R55" s="2"/>
      <c r="S55" s="2"/>
      <c r="T55" s="2"/>
      <c r="U55" s="2">
        <v>151.22509539999999</v>
      </c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>
        <v>12.051374920000001</v>
      </c>
      <c r="AJ55" s="2"/>
      <c r="AK55" s="2"/>
      <c r="AL55" s="2"/>
      <c r="AM55" s="2"/>
      <c r="AN55" s="2"/>
      <c r="AO55" s="2"/>
      <c r="AP55" s="2"/>
      <c r="AQ55" s="2"/>
      <c r="CN55">
        <v>0.70685748699999995</v>
      </c>
      <c r="CO55">
        <v>1.850254367</v>
      </c>
      <c r="CP55">
        <v>3.1307721050000001</v>
      </c>
      <c r="CQ55">
        <v>7.3758974259999999</v>
      </c>
      <c r="CR55">
        <v>13.73857806</v>
      </c>
      <c r="CS55">
        <v>9.5478418999999995E-2</v>
      </c>
      <c r="CT55">
        <v>0.37044297799999998</v>
      </c>
      <c r="CU55">
        <v>0.91875775500000001</v>
      </c>
      <c r="CV55">
        <v>2.6156289639999999</v>
      </c>
      <c r="CW55">
        <v>43.783078070000002</v>
      </c>
      <c r="DC55">
        <v>9.8046879899999997</v>
      </c>
      <c r="DE55">
        <v>262.08172359999998</v>
      </c>
    </row>
    <row r="56" spans="1:109" x14ac:dyDescent="0.35">
      <c r="A56" t="s">
        <v>158</v>
      </c>
      <c r="B56" t="s">
        <v>56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>
        <v>2.2712924729999999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CN56">
        <v>1.9423235889999999</v>
      </c>
      <c r="CO56">
        <v>1.082930543</v>
      </c>
      <c r="CP56">
        <v>2.6889411710000002</v>
      </c>
      <c r="CQ56">
        <v>1.4921990140000001</v>
      </c>
      <c r="CR56">
        <v>7.7091470419999997</v>
      </c>
      <c r="CS56">
        <v>0.109465956</v>
      </c>
      <c r="CT56">
        <v>0.32286890000000001</v>
      </c>
      <c r="CU56">
        <v>0.76082391500000002</v>
      </c>
      <c r="CV56">
        <v>1.027893253</v>
      </c>
      <c r="CW56">
        <v>21.51972297</v>
      </c>
      <c r="DE56">
        <v>40.927608829999997</v>
      </c>
    </row>
    <row r="57" spans="1:109" x14ac:dyDescent="0.35">
      <c r="A57" t="s">
        <v>159</v>
      </c>
      <c r="B57" t="s">
        <v>57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>
        <v>0.33335457200000002</v>
      </c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CN57">
        <v>2.221610455</v>
      </c>
      <c r="CO57">
        <v>4.9306658060000004</v>
      </c>
      <c r="CP57">
        <v>7.4268361489999997</v>
      </c>
      <c r="CQ57">
        <v>14.557719970000001</v>
      </c>
      <c r="CR57">
        <v>16.40802549</v>
      </c>
      <c r="CS57">
        <v>0.15446262199999999</v>
      </c>
      <c r="CT57">
        <v>0.25521264399999999</v>
      </c>
      <c r="CU57">
        <v>0.79381108</v>
      </c>
      <c r="CV57">
        <v>1.3366988609999999</v>
      </c>
      <c r="CW57">
        <v>7.3185650070000001</v>
      </c>
      <c r="DD57">
        <v>10.593184040000001</v>
      </c>
      <c r="DE57">
        <v>66.3301467</v>
      </c>
    </row>
    <row r="58" spans="1:109" x14ac:dyDescent="0.35">
      <c r="A58" t="s">
        <v>160</v>
      </c>
      <c r="B58" t="s">
        <v>58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>
        <v>24.97468782</v>
      </c>
      <c r="S58" s="2"/>
      <c r="T58" s="2">
        <v>1.0730423920000001</v>
      </c>
      <c r="U58" s="2">
        <v>2.9606372900000002</v>
      </c>
      <c r="V58" s="2">
        <v>0.38479672100000001</v>
      </c>
      <c r="W58" s="2"/>
      <c r="X58" s="2">
        <v>16.761628590000001</v>
      </c>
      <c r="Y58" s="2"/>
      <c r="Z58" s="2">
        <v>2.5900525000000001E-2</v>
      </c>
      <c r="AA58" s="2"/>
      <c r="AB58" s="2"/>
      <c r="AC58" s="2"/>
      <c r="AD58" s="2">
        <v>1.2514897279999999</v>
      </c>
      <c r="AE58" s="2"/>
      <c r="AF58" s="2">
        <v>40.074167240000001</v>
      </c>
      <c r="AG58" s="2"/>
      <c r="AH58" s="2"/>
      <c r="AI58" s="2">
        <v>13.63639416</v>
      </c>
      <c r="AJ58" s="2"/>
      <c r="AK58" s="2"/>
      <c r="AL58" s="2"/>
      <c r="AM58" s="2"/>
      <c r="AN58" s="2"/>
      <c r="AO58" s="2"/>
      <c r="AP58" s="2"/>
      <c r="AQ58" s="2"/>
      <c r="CN58">
        <v>1.3714956E-2</v>
      </c>
      <c r="CO58">
        <v>3.6190843E-2</v>
      </c>
      <c r="CP58">
        <v>7.9418559E-2</v>
      </c>
      <c r="CQ58">
        <v>0.161576372</v>
      </c>
      <c r="CR58">
        <v>0.27357296599999997</v>
      </c>
      <c r="CS58">
        <v>1.0029721E-2</v>
      </c>
      <c r="CT58">
        <v>4.9940745000000002E-2</v>
      </c>
      <c r="CU58">
        <v>7.8950054000000006E-2</v>
      </c>
      <c r="CV58">
        <v>0.260766887</v>
      </c>
      <c r="CW58">
        <v>1.5252224809999999</v>
      </c>
      <c r="DE58">
        <v>103.6321281</v>
      </c>
    </row>
    <row r="59" spans="1:109" x14ac:dyDescent="0.35">
      <c r="A59" t="s">
        <v>161</v>
      </c>
      <c r="B59" t="s">
        <v>59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>
        <v>0.138490369</v>
      </c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>
        <v>0.91219149600000005</v>
      </c>
      <c r="AJ59" s="2"/>
      <c r="AK59" s="2"/>
      <c r="AL59" s="2"/>
      <c r="AM59" s="2"/>
      <c r="AN59" s="2"/>
      <c r="AO59" s="2"/>
      <c r="AP59" s="2"/>
      <c r="AQ59" s="2"/>
      <c r="CN59">
        <v>1.8573653459999999</v>
      </c>
      <c r="CO59">
        <v>2.2365797440000001</v>
      </c>
      <c r="CP59">
        <v>3.5422996119999999</v>
      </c>
      <c r="CQ59">
        <v>6.4576110760000001</v>
      </c>
      <c r="CR59">
        <v>7.5986172420000004</v>
      </c>
      <c r="CS59">
        <v>6.057763E-2</v>
      </c>
      <c r="CT59">
        <v>0.28487511399999998</v>
      </c>
      <c r="CU59">
        <v>0.48388708200000002</v>
      </c>
      <c r="CV59">
        <v>1.8901987170000001</v>
      </c>
      <c r="CW59">
        <v>18.2194164</v>
      </c>
      <c r="DE59">
        <v>43.682109830000002</v>
      </c>
    </row>
    <row r="60" spans="1:109" x14ac:dyDescent="0.35">
      <c r="A60" t="s">
        <v>162</v>
      </c>
      <c r="B60" t="s">
        <v>60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>
        <v>2.2008737749999998</v>
      </c>
      <c r="U60" s="2">
        <v>1.619847875</v>
      </c>
      <c r="V60" s="2"/>
      <c r="W60" s="2"/>
      <c r="X60" s="2"/>
      <c r="Y60" s="2">
        <v>0.18895946</v>
      </c>
      <c r="Z60" s="2">
        <v>6.7293221519999999</v>
      </c>
      <c r="AA60" s="2">
        <v>6.3964289299999999</v>
      </c>
      <c r="AB60" s="2">
        <v>4.1390569000000002E-2</v>
      </c>
      <c r="AC60" s="2"/>
      <c r="AD60" s="2"/>
      <c r="AE60" s="2"/>
      <c r="AF60" s="2">
        <v>122.8126412</v>
      </c>
      <c r="AG60" s="2"/>
      <c r="AH60" s="2">
        <v>0.268151472</v>
      </c>
      <c r="AI60" s="2">
        <v>4.3996765870000001</v>
      </c>
      <c r="AJ60" s="2"/>
      <c r="AK60" s="2"/>
      <c r="AL60" s="2"/>
      <c r="AM60" s="2"/>
      <c r="AN60" s="2"/>
      <c r="AO60" s="2"/>
      <c r="AP60" s="2"/>
      <c r="AQ60" s="2"/>
      <c r="DD60">
        <v>509.72951419999998</v>
      </c>
      <c r="DE60">
        <v>654.38680620000002</v>
      </c>
    </row>
    <row r="61" spans="1:109" x14ac:dyDescent="0.35">
      <c r="A61" t="s">
        <v>163</v>
      </c>
      <c r="B61" t="s">
        <v>61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>
        <v>31.556028189999999</v>
      </c>
      <c r="P61" s="2">
        <v>7.4320373020000003</v>
      </c>
      <c r="Q61" s="2">
        <v>3.0258143390000001</v>
      </c>
      <c r="R61" s="2"/>
      <c r="S61" s="2">
        <v>1.246613891</v>
      </c>
      <c r="T61" s="2"/>
      <c r="U61" s="2">
        <v>164.73266240000001</v>
      </c>
      <c r="V61" s="2">
        <v>39.641790989999997</v>
      </c>
      <c r="W61" s="2"/>
      <c r="X61" s="2"/>
      <c r="Y61" s="2"/>
      <c r="Z61" s="2"/>
      <c r="AA61" s="2"/>
      <c r="AB61" s="2"/>
      <c r="AC61" s="2">
        <v>1.4083279000000001E-2</v>
      </c>
      <c r="AD61" s="2"/>
      <c r="AE61" s="2"/>
      <c r="AF61" s="2">
        <v>0.22584464900000001</v>
      </c>
      <c r="AG61" s="2"/>
      <c r="AH61" s="2"/>
      <c r="AI61" s="2">
        <v>50.419155809999999</v>
      </c>
      <c r="AJ61" s="2"/>
      <c r="AK61" s="2"/>
      <c r="AL61" s="2"/>
      <c r="AM61" s="2"/>
      <c r="AN61" s="2"/>
      <c r="AO61" s="2"/>
      <c r="AP61" s="2"/>
      <c r="AQ61" s="2">
        <v>0.67708286100000004</v>
      </c>
      <c r="CN61">
        <v>29.436348519999999</v>
      </c>
      <c r="CO61">
        <v>45.712548329999997</v>
      </c>
      <c r="CP61">
        <v>62.937295300000002</v>
      </c>
      <c r="CQ61">
        <v>96.846091079999994</v>
      </c>
      <c r="CR61">
        <v>120.4617866</v>
      </c>
      <c r="CS61">
        <v>3.0039711950000001</v>
      </c>
      <c r="CT61">
        <v>6.5110563419999998</v>
      </c>
      <c r="CU61">
        <v>11.291891010000001</v>
      </c>
      <c r="CV61">
        <v>23.979068470000001</v>
      </c>
      <c r="CW61">
        <v>229.65096700000001</v>
      </c>
      <c r="DD61">
        <v>509.1064963</v>
      </c>
      <c r="DE61">
        <v>1437.9086339999999</v>
      </c>
    </row>
    <row r="62" spans="1:109" x14ac:dyDescent="0.35">
      <c r="A62" t="s">
        <v>164</v>
      </c>
      <c r="B62" t="s">
        <v>62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>
        <v>105.9464361</v>
      </c>
      <c r="AJ62" s="2"/>
      <c r="AK62" s="2"/>
      <c r="AL62" s="2"/>
      <c r="AM62" s="2"/>
      <c r="AN62" s="2"/>
      <c r="AO62" s="2"/>
      <c r="AP62" s="2"/>
      <c r="AQ62" s="2"/>
      <c r="CN62">
        <v>7.3851413900000002</v>
      </c>
      <c r="CO62">
        <v>14.616397449999999</v>
      </c>
      <c r="CP62">
        <v>25.375208629999999</v>
      </c>
      <c r="CQ62">
        <v>45.161725029999999</v>
      </c>
      <c r="CR62">
        <v>67.461016349999994</v>
      </c>
      <c r="CS62">
        <v>0.99148018800000004</v>
      </c>
      <c r="CT62">
        <v>2.4734503229999998</v>
      </c>
      <c r="CU62">
        <v>5.8291023519999996</v>
      </c>
      <c r="CV62">
        <v>11.11429182</v>
      </c>
      <c r="CW62">
        <v>155.99976029999999</v>
      </c>
      <c r="DD62">
        <v>13.82429698</v>
      </c>
      <c r="DE62">
        <v>456.1783069</v>
      </c>
    </row>
    <row r="63" spans="1:109" x14ac:dyDescent="0.35">
      <c r="A63" t="s">
        <v>211</v>
      </c>
      <c r="B63" t="s">
        <v>63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>
        <v>0.45898127300000002</v>
      </c>
      <c r="U63" s="2"/>
      <c r="V63" s="2"/>
      <c r="W63" s="2">
        <v>76.032960560000006</v>
      </c>
      <c r="X63" s="2"/>
      <c r="Y63" s="2"/>
      <c r="Z63" s="2"/>
      <c r="AA63" s="2"/>
      <c r="AB63" s="2">
        <v>6.9205632509999999</v>
      </c>
      <c r="AC63" s="2"/>
      <c r="AD63" s="2">
        <v>0.106514836</v>
      </c>
      <c r="AE63" s="2"/>
      <c r="AF63" s="2">
        <v>32.400759749999999</v>
      </c>
      <c r="AG63" s="2"/>
      <c r="AH63" s="2">
        <v>2.8777914120000001</v>
      </c>
      <c r="AI63" s="2">
        <v>7.5039343560000002</v>
      </c>
      <c r="AJ63" s="2">
        <v>7.2814648289999999</v>
      </c>
      <c r="AK63" s="2">
        <v>10.009452169999999</v>
      </c>
      <c r="AL63" s="2"/>
      <c r="AM63" s="2">
        <v>11.564415439999999</v>
      </c>
      <c r="AN63" s="2">
        <v>10.1501217</v>
      </c>
      <c r="AO63" s="2">
        <v>3.913628745</v>
      </c>
      <c r="AP63" s="2">
        <v>2.7460720000000001E-2</v>
      </c>
      <c r="AQ63" s="2"/>
      <c r="CN63">
        <v>16.366982100000001</v>
      </c>
      <c r="CO63">
        <v>27.035105340000001</v>
      </c>
      <c r="CP63">
        <v>38.503257560000002</v>
      </c>
      <c r="CQ63">
        <v>54.492944639999997</v>
      </c>
      <c r="CR63">
        <v>62.429997620000002</v>
      </c>
      <c r="CS63">
        <v>1.223553106</v>
      </c>
      <c r="CT63">
        <v>2.6880526389999999</v>
      </c>
      <c r="CU63">
        <v>5.2620619690000003</v>
      </c>
      <c r="CV63">
        <v>11.554371550000001</v>
      </c>
      <c r="CW63">
        <v>139.38407240000001</v>
      </c>
      <c r="DE63">
        <v>528.18844790000003</v>
      </c>
    </row>
    <row r="64" spans="1:109" x14ac:dyDescent="0.35">
      <c r="A64" t="s">
        <v>165</v>
      </c>
      <c r="B64" t="s">
        <v>64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>
        <v>1.0633169950000001</v>
      </c>
      <c r="U64" s="2">
        <v>24.022651100000001</v>
      </c>
      <c r="V64" s="2">
        <v>8.9876274330000001</v>
      </c>
      <c r="W64" s="2">
        <v>0.34577654400000002</v>
      </c>
      <c r="X64" s="2">
        <v>16.00250243</v>
      </c>
      <c r="Y64" s="2">
        <v>4.7894879770000003</v>
      </c>
      <c r="Z64" s="2">
        <v>0.27541421100000002</v>
      </c>
      <c r="AA64" s="2">
        <v>0.113786726</v>
      </c>
      <c r="AB64" s="2">
        <v>9.9841858979999998</v>
      </c>
      <c r="AC64" s="2">
        <v>6.6732084999999997E-2</v>
      </c>
      <c r="AD64" s="2">
        <v>0.232992801</v>
      </c>
      <c r="AE64" s="2">
        <v>0.13196822999999999</v>
      </c>
      <c r="AF64" s="2">
        <v>50.396210379999999</v>
      </c>
      <c r="AG64" s="2">
        <v>1.7085878350000001</v>
      </c>
      <c r="AH64" s="2">
        <v>4.2075862490000002</v>
      </c>
      <c r="AI64" s="2">
        <v>1.238492272</v>
      </c>
      <c r="AJ64" s="2">
        <v>0.102079638</v>
      </c>
      <c r="AK64" s="2">
        <v>2.8564950000000001E-3</v>
      </c>
      <c r="AL64" s="2">
        <v>0.238209483</v>
      </c>
      <c r="AM64" s="2">
        <v>2.2041755730000001</v>
      </c>
      <c r="AN64" s="2">
        <v>16.699893110000001</v>
      </c>
      <c r="AO64" s="2">
        <v>17.300651689999999</v>
      </c>
      <c r="AP64" s="2">
        <v>3.9922186129999999</v>
      </c>
      <c r="AQ64" s="2">
        <v>10.803598969999999</v>
      </c>
      <c r="CN64">
        <v>0.45435281799999999</v>
      </c>
      <c r="CO64">
        <v>0.85294384300000003</v>
      </c>
      <c r="CP64">
        <v>3.025932933</v>
      </c>
      <c r="CQ64">
        <v>3.57658421</v>
      </c>
      <c r="CR64">
        <v>5.9880810120000003</v>
      </c>
      <c r="CS64">
        <v>6.0668995000000003E-2</v>
      </c>
      <c r="CT64">
        <v>0.11606517399999999</v>
      </c>
      <c r="CU64">
        <v>0.321314875</v>
      </c>
      <c r="CV64">
        <v>1.1566128419999999</v>
      </c>
      <c r="CW64">
        <v>20.886664270000001</v>
      </c>
      <c r="DC64">
        <v>0.34439935500000002</v>
      </c>
      <c r="DE64">
        <v>211.6946231</v>
      </c>
    </row>
    <row r="65" spans="1:111" x14ac:dyDescent="0.35">
      <c r="A65" t="s">
        <v>166</v>
      </c>
      <c r="B65" t="s">
        <v>65</v>
      </c>
      <c r="C65" s="2">
        <v>4.3602468239999999</v>
      </c>
      <c r="D65" s="2">
        <v>3.0145330449999999</v>
      </c>
      <c r="E65" s="2">
        <v>2.304060969</v>
      </c>
      <c r="F65" s="2">
        <v>5.8985775309999999</v>
      </c>
      <c r="G65" s="2">
        <v>10.56540148</v>
      </c>
      <c r="H65" s="2">
        <v>21.657754400000002</v>
      </c>
      <c r="I65" s="2">
        <v>2.646592391</v>
      </c>
      <c r="J65" s="2">
        <v>11.80139297</v>
      </c>
      <c r="K65" s="2">
        <v>0.454091154</v>
      </c>
      <c r="L65" s="2">
        <v>9.8656145350000006</v>
      </c>
      <c r="M65" s="2">
        <v>42.130969790000002</v>
      </c>
      <c r="N65" s="2">
        <v>2.195051388</v>
      </c>
      <c r="O65" s="2">
        <v>4.3629287689999998</v>
      </c>
      <c r="P65" s="2">
        <v>0.62238521300000005</v>
      </c>
      <c r="Q65" s="2">
        <v>3.1985864000000003E-2</v>
      </c>
      <c r="R65" s="2">
        <v>24.907974119999999</v>
      </c>
      <c r="S65" s="2">
        <v>0.28207841700000003</v>
      </c>
      <c r="T65" s="2">
        <v>55.42876381</v>
      </c>
      <c r="U65" s="2">
        <v>15.866918999999999</v>
      </c>
      <c r="V65" s="2">
        <v>46.018225430000001</v>
      </c>
      <c r="W65" s="2">
        <v>8.1731825279999999</v>
      </c>
      <c r="X65" s="2">
        <v>6.1088115869999999</v>
      </c>
      <c r="Y65" s="2">
        <v>10.11924617</v>
      </c>
      <c r="Z65" s="2">
        <v>21.935436129999999</v>
      </c>
      <c r="AA65" s="2">
        <v>1.6503029309999999</v>
      </c>
      <c r="AB65" s="2">
        <v>7.0771966280000003</v>
      </c>
      <c r="AC65" s="2">
        <v>5.8078954999999999</v>
      </c>
      <c r="AD65" s="2">
        <v>61.707498370000003</v>
      </c>
      <c r="AE65" s="2">
        <v>6.6009150400000003</v>
      </c>
      <c r="AF65" s="2">
        <v>193.19819949999999</v>
      </c>
      <c r="AG65" s="2">
        <v>36.527306969999998</v>
      </c>
      <c r="AH65" s="2">
        <v>338.07691160000002</v>
      </c>
      <c r="AI65" s="2">
        <v>5.6019184849999997</v>
      </c>
      <c r="AJ65" s="2">
        <v>15.68486409</v>
      </c>
      <c r="AK65" s="2">
        <v>1.489111651</v>
      </c>
      <c r="AL65" s="2">
        <v>0.51390745400000004</v>
      </c>
      <c r="AM65" s="2">
        <v>4.5601800419999998</v>
      </c>
      <c r="AN65" s="2">
        <v>94.582413990000006</v>
      </c>
      <c r="AO65" s="2">
        <v>9.7763648589999992</v>
      </c>
      <c r="AP65" s="2">
        <v>127.7009716</v>
      </c>
      <c r="AQ65" s="2">
        <v>16.788252610000001</v>
      </c>
      <c r="CN65">
        <v>10.85729366</v>
      </c>
      <c r="CO65">
        <v>16.924570289999998</v>
      </c>
      <c r="CP65">
        <v>21.129908260000001</v>
      </c>
      <c r="CQ65">
        <v>27.245118309999999</v>
      </c>
      <c r="CR65">
        <v>31.670470290000001</v>
      </c>
      <c r="CS65">
        <v>1.2040026189999999</v>
      </c>
      <c r="CT65">
        <v>2.3174419230000001</v>
      </c>
      <c r="CU65">
        <v>3.6181988380000001</v>
      </c>
      <c r="CV65">
        <v>6.0429313459999996</v>
      </c>
      <c r="CW65">
        <v>118.72398149999999</v>
      </c>
      <c r="DD65">
        <v>46.44492709</v>
      </c>
      <c r="DE65">
        <v>1524.275279</v>
      </c>
    </row>
    <row r="66" spans="1:111" x14ac:dyDescent="0.35">
      <c r="A66" t="s">
        <v>167</v>
      </c>
      <c r="B66" t="s">
        <v>66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>
        <v>2.1349694939999999</v>
      </c>
      <c r="V66" s="2"/>
      <c r="W66" s="2"/>
      <c r="X66" s="2"/>
      <c r="Y66" s="2"/>
      <c r="Z66" s="2"/>
      <c r="AA66" s="2"/>
      <c r="AB66" s="2"/>
      <c r="AC66" s="2"/>
      <c r="AD66" s="2">
        <v>7.3771849720000002</v>
      </c>
      <c r="AE66" s="2"/>
      <c r="AF66" s="2">
        <v>259.26286149999999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CN66">
        <v>0.17768002299999999</v>
      </c>
      <c r="CO66">
        <v>0.27192989499999998</v>
      </c>
      <c r="CP66">
        <v>0.42662812700000002</v>
      </c>
      <c r="CQ66">
        <v>0.64880451400000005</v>
      </c>
      <c r="CR66">
        <v>0.88165173900000005</v>
      </c>
      <c r="CS66">
        <v>1.3323541E-2</v>
      </c>
      <c r="CT66">
        <v>2.7925702E-2</v>
      </c>
      <c r="CU66">
        <v>5.9241518E-2</v>
      </c>
      <c r="CV66">
        <v>0.13495143300000001</v>
      </c>
      <c r="CW66">
        <v>1.814202592</v>
      </c>
      <c r="DD66">
        <v>16.360214070000001</v>
      </c>
      <c r="DE66">
        <v>289.59156910000002</v>
      </c>
    </row>
    <row r="67" spans="1:111" x14ac:dyDescent="0.35">
      <c r="A67" t="s">
        <v>168</v>
      </c>
      <c r="B67" t="s">
        <v>67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>
        <v>0.43555527500000002</v>
      </c>
      <c r="U67" s="2"/>
      <c r="V67" s="2"/>
      <c r="W67" s="2"/>
      <c r="X67" s="2"/>
      <c r="Y67" s="2"/>
      <c r="Z67" s="2">
        <v>13.765934659999999</v>
      </c>
      <c r="AA67" s="2">
        <v>34.754307869999998</v>
      </c>
      <c r="AB67" s="2">
        <v>2.5513223479999998</v>
      </c>
      <c r="AC67" s="2">
        <v>0.64958602499999996</v>
      </c>
      <c r="AD67" s="2">
        <v>7.6430782590000002</v>
      </c>
      <c r="AE67" s="2"/>
      <c r="AF67" s="2">
        <v>445.77864410000001</v>
      </c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CN67">
        <v>0.29003632800000001</v>
      </c>
      <c r="CO67">
        <v>0.48803605700000002</v>
      </c>
      <c r="CP67">
        <v>0.67830166000000003</v>
      </c>
      <c r="CQ67">
        <v>0.95679278800000001</v>
      </c>
      <c r="CR67">
        <v>1.0919332850000001</v>
      </c>
      <c r="CS67">
        <v>1.8410756E-2</v>
      </c>
      <c r="CT67">
        <v>3.4517526999999999E-2</v>
      </c>
      <c r="CU67">
        <v>6.8500728999999996E-2</v>
      </c>
      <c r="CV67">
        <v>0.24005776700000001</v>
      </c>
      <c r="CW67">
        <v>2.1399799009999998</v>
      </c>
      <c r="DE67">
        <v>511.5849953</v>
      </c>
    </row>
    <row r="68" spans="1:111" x14ac:dyDescent="0.35">
      <c r="A68" t="s">
        <v>212</v>
      </c>
      <c r="B68" t="s">
        <v>68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>
        <v>0.37674150699999998</v>
      </c>
      <c r="U68" s="2">
        <v>1.5876989379999999</v>
      </c>
      <c r="V68" s="2">
        <v>7.3926353499999999</v>
      </c>
      <c r="W68" s="2">
        <v>1.041841324</v>
      </c>
      <c r="X68" s="2">
        <v>0.235529664</v>
      </c>
      <c r="Y68" s="2">
        <v>2.1673317600000002</v>
      </c>
      <c r="Z68" s="2">
        <v>8.8603809000000006E-2</v>
      </c>
      <c r="AA68" s="2">
        <v>0.54047500999999998</v>
      </c>
      <c r="AB68" s="2">
        <v>1.004447863</v>
      </c>
      <c r="AC68" s="2"/>
      <c r="AD68" s="2">
        <v>0.66385791599999999</v>
      </c>
      <c r="AE68" s="2">
        <v>7.1655367600000002</v>
      </c>
      <c r="AF68" s="2">
        <v>30.181630290000001</v>
      </c>
      <c r="AG68" s="2">
        <v>326.05579690000002</v>
      </c>
      <c r="AH68" s="2">
        <v>3.9463293159999999</v>
      </c>
      <c r="AI68" s="2">
        <v>1.8067295459999999</v>
      </c>
      <c r="AJ68" s="2">
        <v>0.21221936999999999</v>
      </c>
      <c r="AK68" s="2"/>
      <c r="AL68" s="2">
        <v>0.2849699</v>
      </c>
      <c r="AM68" s="2">
        <v>7.1130311280000003</v>
      </c>
      <c r="AN68" s="2">
        <v>12.29902764</v>
      </c>
      <c r="AO68" s="2">
        <v>2.6845883220000002</v>
      </c>
      <c r="AP68" s="2">
        <v>1.4956245100000001</v>
      </c>
      <c r="AQ68" s="2">
        <v>6.2245852939999997</v>
      </c>
      <c r="CN68">
        <v>5.8817470030000001</v>
      </c>
      <c r="CO68">
        <v>10.72192763</v>
      </c>
      <c r="CP68">
        <v>18.108036210000002</v>
      </c>
      <c r="CQ68">
        <v>35.974945949999999</v>
      </c>
      <c r="CR68">
        <v>65.517023420000001</v>
      </c>
      <c r="CS68">
        <v>0.51412138500000004</v>
      </c>
      <c r="CT68">
        <v>0.93384116500000003</v>
      </c>
      <c r="CU68">
        <v>2.7262318589999999</v>
      </c>
      <c r="CV68">
        <v>5.6969714600000003</v>
      </c>
      <c r="CW68">
        <v>170.06513380000001</v>
      </c>
      <c r="DC68">
        <v>964.58431359999997</v>
      </c>
      <c r="DE68">
        <v>1695.2935259999999</v>
      </c>
    </row>
    <row r="69" spans="1:111" x14ac:dyDescent="0.35">
      <c r="A69" t="s">
        <v>169</v>
      </c>
      <c r="B69" t="s">
        <v>69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>
        <v>13.49422509</v>
      </c>
      <c r="AO69" s="2">
        <v>3.0389913160000002</v>
      </c>
      <c r="AP69" s="2">
        <v>16.27037151</v>
      </c>
      <c r="AQ69" s="2">
        <v>4.84382E-4</v>
      </c>
      <c r="CN69">
        <v>0.77534020599999998</v>
      </c>
      <c r="CO69">
        <v>1.232637813</v>
      </c>
      <c r="CP69">
        <v>1.773098211</v>
      </c>
      <c r="CQ69">
        <v>2.777412692</v>
      </c>
      <c r="CR69">
        <v>4.1618467389999996</v>
      </c>
      <c r="CS69">
        <v>6.3542665999999998E-2</v>
      </c>
      <c r="CT69">
        <v>0.14054291199999999</v>
      </c>
      <c r="CU69">
        <v>0.268420875</v>
      </c>
      <c r="CV69">
        <v>0.64560148299999998</v>
      </c>
      <c r="CW69">
        <v>12.68215762</v>
      </c>
      <c r="DC69">
        <v>63.639492830000002</v>
      </c>
      <c r="DD69">
        <v>57.084856799999997</v>
      </c>
      <c r="DE69">
        <v>178.0490231</v>
      </c>
    </row>
    <row r="70" spans="1:111" x14ac:dyDescent="0.35">
      <c r="A70" t="s">
        <v>213</v>
      </c>
      <c r="B70" t="s">
        <v>70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>
        <v>6.8840884789999999</v>
      </c>
      <c r="U70" s="2">
        <v>48.931294270000002</v>
      </c>
      <c r="V70" s="2">
        <v>21.326112699999999</v>
      </c>
      <c r="W70" s="2">
        <v>2.2767674410000001</v>
      </c>
      <c r="X70" s="2">
        <v>0.88187125899999996</v>
      </c>
      <c r="Y70" s="2">
        <v>43.063583540000003</v>
      </c>
      <c r="Z70" s="2">
        <v>19.0074404</v>
      </c>
      <c r="AA70" s="2">
        <v>33.239344379999999</v>
      </c>
      <c r="AB70" s="2">
        <v>4.3904430789999997</v>
      </c>
      <c r="AC70" s="2">
        <v>4.2389684120000002</v>
      </c>
      <c r="AD70" s="2">
        <v>8.6947804000000009</v>
      </c>
      <c r="AE70" s="2">
        <v>21.894953300000001</v>
      </c>
      <c r="AF70" s="2">
        <v>74.097891140000002</v>
      </c>
      <c r="AG70" s="2">
        <v>12.792874189999999</v>
      </c>
      <c r="AH70" s="2">
        <v>1.1359075489999999</v>
      </c>
      <c r="AI70" s="2">
        <v>18.805241599999999</v>
      </c>
      <c r="AJ70" s="2">
        <v>12.37342992</v>
      </c>
      <c r="AK70" s="2">
        <v>2.3574406950000002</v>
      </c>
      <c r="AL70" s="2">
        <v>4.5064825519999996</v>
      </c>
      <c r="AM70" s="2">
        <v>4.9218485970000003</v>
      </c>
      <c r="AN70" s="2">
        <v>15.29411722</v>
      </c>
      <c r="AO70" s="2">
        <v>20.022009400000002</v>
      </c>
      <c r="AP70" s="2">
        <v>5.3549073429999998</v>
      </c>
      <c r="AQ70" s="2">
        <v>11.52313938</v>
      </c>
      <c r="CN70">
        <v>0.22396322299999999</v>
      </c>
      <c r="CO70">
        <v>0.524810691</v>
      </c>
      <c r="CP70">
        <v>1.2133067289999999</v>
      </c>
      <c r="CQ70">
        <v>1.981416407</v>
      </c>
      <c r="CR70">
        <v>3.484854092</v>
      </c>
      <c r="CS70">
        <v>7.1089152000000003E-2</v>
      </c>
      <c r="CT70">
        <v>0.21173834</v>
      </c>
      <c r="CU70">
        <v>0.58930326300000002</v>
      </c>
      <c r="CV70">
        <v>1.69909646</v>
      </c>
      <c r="CW70">
        <v>18.619512589999999</v>
      </c>
      <c r="DE70">
        <v>426.63402819999999</v>
      </c>
    </row>
    <row r="71" spans="1:111" x14ac:dyDescent="0.35">
      <c r="A71" t="s">
        <v>170</v>
      </c>
      <c r="B71" t="s">
        <v>71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>
        <v>0.24545171399999999</v>
      </c>
      <c r="U71" s="2">
        <v>3.7183191519999998</v>
      </c>
      <c r="V71" s="2">
        <v>4.4001272939999998</v>
      </c>
      <c r="W71" s="2">
        <v>0.27463899899999999</v>
      </c>
      <c r="X71" s="2">
        <v>9.8763596999999995E-2</v>
      </c>
      <c r="Y71" s="2">
        <v>31.19554183</v>
      </c>
      <c r="Z71" s="2">
        <v>4.2277975960000003</v>
      </c>
      <c r="AA71" s="2">
        <v>7.1654018E-2</v>
      </c>
      <c r="AB71" s="2">
        <v>7.0236159560000004</v>
      </c>
      <c r="AC71" s="2"/>
      <c r="AD71" s="2"/>
      <c r="AE71" s="2">
        <v>0.95343810399999995</v>
      </c>
      <c r="AF71" s="2">
        <v>2.7106563339999998</v>
      </c>
      <c r="AG71" s="2">
        <v>2.27884172</v>
      </c>
      <c r="AH71" s="2">
        <v>0.67544904900000002</v>
      </c>
      <c r="AI71" s="2">
        <v>6.818080234</v>
      </c>
      <c r="AJ71" s="2">
        <v>0.75894747200000001</v>
      </c>
      <c r="AK71" s="3">
        <v>1.9530799999999999E-5</v>
      </c>
      <c r="AL71" s="2">
        <v>2.643799118</v>
      </c>
      <c r="AM71" s="2">
        <v>1.3141379980000001</v>
      </c>
      <c r="AN71" s="2"/>
      <c r="AO71" s="2">
        <v>16.85960785</v>
      </c>
      <c r="AP71" s="2">
        <v>1.3613545229999999</v>
      </c>
      <c r="AQ71" s="2">
        <v>3.646604897</v>
      </c>
      <c r="CN71">
        <v>0.52236853900000002</v>
      </c>
      <c r="CO71">
        <v>1.0336139790000001</v>
      </c>
      <c r="CP71">
        <v>1.5055015389999999</v>
      </c>
      <c r="CQ71">
        <v>2.6504040519999998</v>
      </c>
      <c r="CR71">
        <v>4.8921874880000003</v>
      </c>
      <c r="CS71">
        <v>0.116933734</v>
      </c>
      <c r="CT71">
        <v>0.58863337999999998</v>
      </c>
      <c r="CU71">
        <v>0.89584921200000001</v>
      </c>
      <c r="CV71">
        <v>1.911070958</v>
      </c>
      <c r="CW71">
        <v>19.162687630000001</v>
      </c>
      <c r="DE71">
        <v>124.55609750000001</v>
      </c>
    </row>
    <row r="72" spans="1:111" x14ac:dyDescent="0.35">
      <c r="A72" t="s">
        <v>171</v>
      </c>
      <c r="B72" t="s">
        <v>72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>
        <v>50.300068969999998</v>
      </c>
      <c r="U72" s="2">
        <v>4.2815535090000001</v>
      </c>
      <c r="V72" s="2">
        <v>1.6108875620000001</v>
      </c>
      <c r="W72" s="2">
        <v>1.668934E-3</v>
      </c>
      <c r="X72" s="2">
        <v>0.43074264200000001</v>
      </c>
      <c r="Y72" s="2">
        <v>7.5990772680000003</v>
      </c>
      <c r="Z72" s="2"/>
      <c r="AA72" s="2">
        <v>0.214914516</v>
      </c>
      <c r="AB72" s="2">
        <v>0.15093321700000001</v>
      </c>
      <c r="AC72" s="2">
        <v>1.6986304270000001</v>
      </c>
      <c r="AD72" s="2">
        <v>0.43884391900000003</v>
      </c>
      <c r="AE72" s="2">
        <v>7.8753772E-2</v>
      </c>
      <c r="AF72" s="2">
        <v>24.97322041</v>
      </c>
      <c r="AG72" s="2">
        <v>4.6461668740000004</v>
      </c>
      <c r="AH72" s="2">
        <v>3.201700701</v>
      </c>
      <c r="AI72" s="2">
        <v>3.6912846730000002</v>
      </c>
      <c r="AJ72" s="2"/>
      <c r="AK72" s="2"/>
      <c r="AL72" s="2">
        <v>5.6975101889999999</v>
      </c>
      <c r="AM72" s="2">
        <v>1.480412158</v>
      </c>
      <c r="AN72" s="2">
        <v>108.8931077</v>
      </c>
      <c r="AO72" s="2">
        <v>13.85043477</v>
      </c>
      <c r="AP72" s="2">
        <v>2.7053498550000001</v>
      </c>
      <c r="AQ72" s="2">
        <v>12.997277540000001</v>
      </c>
      <c r="CN72">
        <v>2.04628845</v>
      </c>
      <c r="CO72">
        <v>4.2058323250000003</v>
      </c>
      <c r="CP72">
        <v>7.263295319</v>
      </c>
      <c r="CQ72">
        <v>14.56855423</v>
      </c>
      <c r="CR72">
        <v>24.128331209999999</v>
      </c>
      <c r="CS72">
        <v>0.142172509</v>
      </c>
      <c r="CT72">
        <v>0.26648971100000002</v>
      </c>
      <c r="CU72">
        <v>0.93984321999999998</v>
      </c>
      <c r="CV72">
        <v>1.379693066</v>
      </c>
      <c r="CW72">
        <v>30.84809452</v>
      </c>
      <c r="DC72">
        <v>1832.472798</v>
      </c>
      <c r="DE72">
        <v>2167.2039319999999</v>
      </c>
    </row>
    <row r="73" spans="1:111" x14ac:dyDescent="0.35">
      <c r="A73" s="4" t="s">
        <v>172</v>
      </c>
      <c r="B73" t="s">
        <v>73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>
        <v>4.0273903090000003</v>
      </c>
      <c r="S73" s="2">
        <v>4.0122247999999999E-2</v>
      </c>
      <c r="T73" s="2">
        <v>4.4215770870000002</v>
      </c>
      <c r="U73" s="2">
        <v>1.188048362</v>
      </c>
      <c r="V73" s="2">
        <v>2.4926535049999998</v>
      </c>
      <c r="W73" s="2">
        <v>0.17703380799999999</v>
      </c>
      <c r="X73" s="2">
        <v>0.107401648</v>
      </c>
      <c r="Y73" s="2">
        <v>2.7555987439999998</v>
      </c>
      <c r="Z73" s="2">
        <v>7.3656119999999997E-3</v>
      </c>
      <c r="AA73" s="2">
        <v>0.32891031599999998</v>
      </c>
      <c r="AB73" s="2">
        <v>1.0463766130000001</v>
      </c>
      <c r="AC73" s="2"/>
      <c r="AD73" s="2">
        <v>1.1875051240000001</v>
      </c>
      <c r="AE73" s="2">
        <v>7.0903097999999998E-2</v>
      </c>
      <c r="AF73" s="2">
        <v>2.7617740849999999</v>
      </c>
      <c r="AG73" s="2">
        <v>127.0773935</v>
      </c>
      <c r="AH73" s="2">
        <v>46.03176904</v>
      </c>
      <c r="AI73" s="2">
        <v>1.4384214980000001</v>
      </c>
      <c r="AJ73" s="2">
        <v>3.190573815</v>
      </c>
      <c r="AK73" s="2"/>
      <c r="AL73" s="2">
        <v>6.4399654000000001E-2</v>
      </c>
      <c r="AM73" s="2">
        <v>3.916609244</v>
      </c>
      <c r="AN73" s="2">
        <v>2.503942092</v>
      </c>
      <c r="AO73" s="2">
        <v>2.2089907289999999</v>
      </c>
      <c r="AP73" s="2">
        <v>1.9355277740000001</v>
      </c>
      <c r="AQ73" s="2">
        <v>11.615116909999999</v>
      </c>
      <c r="CG73" s="4">
        <v>1394.684225</v>
      </c>
      <c r="CN73">
        <v>1.15371069</v>
      </c>
      <c r="CO73">
        <v>2.8818119200000001</v>
      </c>
      <c r="CP73">
        <v>6.6334506790000001</v>
      </c>
      <c r="CQ73">
        <v>13.880176410000001</v>
      </c>
      <c r="CR73">
        <v>31.419931519999999</v>
      </c>
      <c r="CS73">
        <v>0.100755147</v>
      </c>
      <c r="CT73">
        <v>0.33039238700000001</v>
      </c>
      <c r="CU73">
        <v>1.180080799</v>
      </c>
      <c r="CV73">
        <v>0.94454406899999999</v>
      </c>
      <c r="CW73">
        <v>90.987604719999993</v>
      </c>
      <c r="DE73">
        <v>1764.7920879999999</v>
      </c>
    </row>
    <row r="74" spans="1:111" x14ac:dyDescent="0.35">
      <c r="A74" s="4" t="s">
        <v>173</v>
      </c>
      <c r="B74" t="s">
        <v>74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>
        <v>1.4493922530000001</v>
      </c>
      <c r="U74" s="2">
        <v>5.4727211369999997</v>
      </c>
      <c r="V74" s="2">
        <v>2.2134066419999998</v>
      </c>
      <c r="W74" s="2">
        <v>2.1993116150000001</v>
      </c>
      <c r="X74" s="2">
        <v>1.055984587</v>
      </c>
      <c r="Y74" s="2">
        <v>4.3367128529999999</v>
      </c>
      <c r="Z74" s="2">
        <v>1.7244972000000001E-2</v>
      </c>
      <c r="AA74" s="2">
        <v>0.77595408300000002</v>
      </c>
      <c r="AB74" s="2">
        <v>1.640135495</v>
      </c>
      <c r="AC74" s="2"/>
      <c r="AD74" s="2">
        <v>0.61176150600000001</v>
      </c>
      <c r="AE74" s="2">
        <v>0.58164958</v>
      </c>
      <c r="AF74" s="2">
        <v>21.524569069999998</v>
      </c>
      <c r="AG74" s="2">
        <v>55.536946469999997</v>
      </c>
      <c r="AH74" s="2">
        <v>74.189311549999999</v>
      </c>
      <c r="AI74" s="2">
        <v>2.6987426079999999</v>
      </c>
      <c r="AJ74" s="2">
        <v>4.909521968</v>
      </c>
      <c r="AK74" s="2">
        <v>6.1609900000000005E-4</v>
      </c>
      <c r="AL74" s="2">
        <v>0.87227002499999995</v>
      </c>
      <c r="AM74" s="2">
        <v>6.4427664790000003</v>
      </c>
      <c r="AN74" s="2">
        <v>24.572062320000001</v>
      </c>
      <c r="AO74" s="2">
        <v>13.77155329</v>
      </c>
      <c r="AP74" s="2">
        <v>5.1530755309999998</v>
      </c>
      <c r="AQ74" s="2">
        <v>11.32804483</v>
      </c>
      <c r="CN74">
        <v>4.7772302289999997</v>
      </c>
      <c r="CO74">
        <v>10.571070020000001</v>
      </c>
      <c r="CP74">
        <v>22.375282949999999</v>
      </c>
      <c r="CQ74">
        <v>53.409056319999998</v>
      </c>
      <c r="CR74">
        <v>130.88873530000001</v>
      </c>
      <c r="CS74">
        <v>1.4033398560000001</v>
      </c>
      <c r="CT74">
        <v>4.4823088289999999</v>
      </c>
      <c r="CU74">
        <v>8.8734702090000006</v>
      </c>
      <c r="CV74">
        <v>37.331919380000002</v>
      </c>
      <c r="CW74">
        <v>662.90008639999996</v>
      </c>
      <c r="DD74">
        <v>256.19468119999999</v>
      </c>
      <c r="DE74">
        <v>1434.5609360000001</v>
      </c>
    </row>
    <row r="75" spans="1:111" x14ac:dyDescent="0.35">
      <c r="A75" s="5" t="s">
        <v>174</v>
      </c>
      <c r="B75" t="s">
        <v>75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>
        <v>1.589671324</v>
      </c>
      <c r="U75" s="2">
        <v>1.518602185</v>
      </c>
      <c r="V75" s="2">
        <v>0.94801695500000005</v>
      </c>
      <c r="W75" s="2">
        <v>1.0158107789999999</v>
      </c>
      <c r="X75" s="2">
        <v>0.19346709600000001</v>
      </c>
      <c r="Y75" s="2">
        <v>4.6909237089999998</v>
      </c>
      <c r="Z75" s="2">
        <v>0.150153482</v>
      </c>
      <c r="AA75" s="2">
        <v>0.75759581200000004</v>
      </c>
      <c r="AB75" s="2">
        <v>1.007938091</v>
      </c>
      <c r="AC75" s="2">
        <v>2.6993222829999999</v>
      </c>
      <c r="AD75" s="2">
        <v>1.618707186</v>
      </c>
      <c r="AE75" s="2">
        <v>0.43226869800000001</v>
      </c>
      <c r="AF75" s="2">
        <v>16.98525579</v>
      </c>
      <c r="AG75" s="2">
        <v>4.9099160079999997</v>
      </c>
      <c r="AH75" s="2">
        <v>10.794679990000001</v>
      </c>
      <c r="AI75" s="2">
        <v>2.406049361</v>
      </c>
      <c r="AJ75" s="2">
        <v>2.1208013179999998</v>
      </c>
      <c r="AK75" s="2">
        <v>6.3131735999999994E-2</v>
      </c>
      <c r="AL75" s="2">
        <v>1.2039480739999999</v>
      </c>
      <c r="AM75" s="2">
        <v>7.15191424</v>
      </c>
      <c r="AN75" s="2">
        <v>129.3577291</v>
      </c>
      <c r="AO75" s="2">
        <v>39.835871099999999</v>
      </c>
      <c r="AP75" s="2">
        <v>12.76523441</v>
      </c>
      <c r="AQ75" s="2">
        <v>12.439845679999999</v>
      </c>
      <c r="CN75">
        <v>5.3522644899999996</v>
      </c>
      <c r="CO75">
        <v>11.494579610000001</v>
      </c>
      <c r="CP75">
        <v>20.472305479999999</v>
      </c>
      <c r="CQ75">
        <v>32.017740230000001</v>
      </c>
      <c r="CR75">
        <v>44.603318950000002</v>
      </c>
      <c r="CS75">
        <v>0.30736223600000001</v>
      </c>
      <c r="CT75">
        <v>1.261611625</v>
      </c>
      <c r="CU75">
        <v>1.689056283</v>
      </c>
      <c r="CV75">
        <v>5.8780160669999999</v>
      </c>
      <c r="CW75">
        <v>86.843688459999996</v>
      </c>
      <c r="DD75">
        <v>31.13661158</v>
      </c>
      <c r="DE75">
        <v>497.71340939999999</v>
      </c>
    </row>
    <row r="76" spans="1:111" x14ac:dyDescent="0.35">
      <c r="A76" t="s">
        <v>175</v>
      </c>
      <c r="B76" t="s">
        <v>76</v>
      </c>
      <c r="C76" s="2"/>
      <c r="D76" s="2"/>
      <c r="E76" s="2"/>
      <c r="F76" s="2"/>
      <c r="G76" s="2"/>
      <c r="H76" s="2"/>
      <c r="I76" s="2"/>
      <c r="J76" s="2">
        <v>0.38316610499999998</v>
      </c>
      <c r="K76" s="2">
        <v>1.4597149E-2</v>
      </c>
      <c r="L76" s="2"/>
      <c r="M76" s="2">
        <v>3.6112666980000001</v>
      </c>
      <c r="N76" s="2">
        <v>7.0525561E-2</v>
      </c>
      <c r="O76" s="2">
        <v>1.356986633</v>
      </c>
      <c r="P76" s="2">
        <v>0.18381572500000001</v>
      </c>
      <c r="Q76" s="3">
        <v>1.72397E-5</v>
      </c>
      <c r="R76" s="2">
        <v>11.53037035</v>
      </c>
      <c r="S76" s="2">
        <v>6.4463636000000005E-2</v>
      </c>
      <c r="T76" s="2">
        <v>0.22948828700000001</v>
      </c>
      <c r="U76" s="2">
        <v>1.373765882</v>
      </c>
      <c r="V76" s="2">
        <v>0.80693465200000003</v>
      </c>
      <c r="W76" s="2">
        <v>0.26219997900000003</v>
      </c>
      <c r="X76" s="2">
        <v>8.8300956E-2</v>
      </c>
      <c r="Y76" s="2">
        <v>1.3126702699999999</v>
      </c>
      <c r="Z76" s="2">
        <v>3.9522703999999999E-2</v>
      </c>
      <c r="AA76" s="2">
        <v>3.2146502E-2</v>
      </c>
      <c r="AB76" s="2">
        <v>0.40484221500000001</v>
      </c>
      <c r="AC76" s="2">
        <v>0.17648931600000001</v>
      </c>
      <c r="AD76" s="2">
        <v>2.5306042000000001E-2</v>
      </c>
      <c r="AE76" s="2">
        <v>0.57832566600000002</v>
      </c>
      <c r="AF76" s="2">
        <v>1.2070518960000001</v>
      </c>
      <c r="AG76" s="2">
        <v>4.1759667330000001</v>
      </c>
      <c r="AH76" s="2">
        <v>0.64350227000000004</v>
      </c>
      <c r="AI76" s="2">
        <v>1.232368627</v>
      </c>
      <c r="AJ76" s="2">
        <v>56.100321399999999</v>
      </c>
      <c r="AK76" s="2">
        <v>0.78227796900000002</v>
      </c>
      <c r="AL76" s="2">
        <v>0.233732782</v>
      </c>
      <c r="AM76" s="2">
        <v>3.129831233</v>
      </c>
      <c r="AN76" s="2">
        <v>21.140323250000002</v>
      </c>
      <c r="AO76" s="2">
        <v>10.35704413</v>
      </c>
      <c r="AP76" s="2">
        <v>2.8907251180000002</v>
      </c>
      <c r="AQ76" s="2">
        <v>2.8430987050000001</v>
      </c>
      <c r="CN76">
        <v>8.6771907880000008</v>
      </c>
      <c r="CO76">
        <v>21.697109780000002</v>
      </c>
      <c r="CP76">
        <v>39.147210319999999</v>
      </c>
      <c r="CQ76">
        <v>64.119746730000003</v>
      </c>
      <c r="CR76">
        <v>78.652952979999995</v>
      </c>
      <c r="CS76">
        <v>1.276372185</v>
      </c>
      <c r="CT76">
        <v>3.49456363</v>
      </c>
      <c r="CU76">
        <v>7.3332479380000004</v>
      </c>
      <c r="CV76">
        <v>20.83618384</v>
      </c>
      <c r="CW76">
        <v>237.49011770000001</v>
      </c>
      <c r="DD76">
        <v>65.776084870000005</v>
      </c>
      <c r="DE76">
        <v>675.78222640000001</v>
      </c>
    </row>
    <row r="77" spans="1:111" x14ac:dyDescent="0.35">
      <c r="A77" t="s">
        <v>176</v>
      </c>
      <c r="B77" t="s">
        <v>77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>
        <v>1.4362384050000001</v>
      </c>
      <c r="U77" s="2">
        <v>2.5586188490000001</v>
      </c>
      <c r="V77" s="2">
        <v>1.7000406729999999</v>
      </c>
      <c r="W77" s="2">
        <v>3.6504198649999999</v>
      </c>
      <c r="X77" s="2">
        <v>0.40016435</v>
      </c>
      <c r="Y77" s="2">
        <v>9.7144545099999995</v>
      </c>
      <c r="Z77" s="2">
        <v>0.129926395</v>
      </c>
      <c r="AA77" s="2">
        <v>1.115087701</v>
      </c>
      <c r="AB77" s="2">
        <v>0.81209157700000001</v>
      </c>
      <c r="AC77" s="2">
        <v>0.24882241499999999</v>
      </c>
      <c r="AD77" s="2">
        <v>0.95731357399999994</v>
      </c>
      <c r="AE77" s="2">
        <v>0.57903585099999999</v>
      </c>
      <c r="AF77" s="2">
        <v>9.9534427559999994</v>
      </c>
      <c r="AG77" s="2">
        <v>26.717911990000001</v>
      </c>
      <c r="AH77" s="2">
        <v>6.7691231639999998</v>
      </c>
      <c r="AI77" s="2">
        <v>2.3236728420000001</v>
      </c>
      <c r="AJ77" s="2">
        <v>4.1027042170000003</v>
      </c>
      <c r="AK77" s="2">
        <v>155.88288510000001</v>
      </c>
      <c r="AL77" s="2">
        <v>1.74519628</v>
      </c>
      <c r="AM77" s="2">
        <v>6.0966448489999996</v>
      </c>
      <c r="AN77" s="2">
        <v>1.3916239999999999E-3</v>
      </c>
      <c r="AO77" s="2">
        <v>7.3542976839999996</v>
      </c>
      <c r="AP77" s="2">
        <v>0.55907239799999997</v>
      </c>
      <c r="AQ77" s="2">
        <v>6.1717835279999997</v>
      </c>
      <c r="CN77">
        <v>16.69741715</v>
      </c>
      <c r="CO77">
        <v>21.451312900000001</v>
      </c>
      <c r="CP77">
        <v>25.159021160000002</v>
      </c>
      <c r="CQ77">
        <v>26.78778981</v>
      </c>
      <c r="CR77">
        <v>20.368185010000001</v>
      </c>
      <c r="CS77">
        <v>1.02252768</v>
      </c>
      <c r="CT77">
        <v>1.930803611</v>
      </c>
      <c r="CU77">
        <v>3.0955189949999999</v>
      </c>
      <c r="CV77">
        <v>4.6898340269999998</v>
      </c>
      <c r="CW77">
        <v>47.48417208</v>
      </c>
      <c r="CX77">
        <v>29.626513060000001</v>
      </c>
      <c r="DD77">
        <v>30.48458097</v>
      </c>
      <c r="DE77">
        <v>479.77801699999998</v>
      </c>
      <c r="DG77" s="1">
        <f t="shared" ref="DG77" si="0">CX77/DE77</f>
        <v>6.1750459608907016E-2</v>
      </c>
    </row>
    <row r="78" spans="1:111" x14ac:dyDescent="0.35">
      <c r="A78" t="s">
        <v>177</v>
      </c>
      <c r="B78" t="s">
        <v>78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>
        <v>2.748520579</v>
      </c>
      <c r="U78" s="2">
        <v>9.3481011919999997</v>
      </c>
      <c r="V78" s="2">
        <v>0.286760825</v>
      </c>
      <c r="W78" s="2">
        <v>3.5571559829999999</v>
      </c>
      <c r="X78" s="2">
        <v>1.3138019569999999</v>
      </c>
      <c r="Y78" s="2">
        <v>0.21605085299999999</v>
      </c>
      <c r="Z78" s="2">
        <v>8.9978233000000005E-2</v>
      </c>
      <c r="AA78" s="2">
        <v>0.37124816300000002</v>
      </c>
      <c r="AB78" s="2">
        <v>0.44040662699999999</v>
      </c>
      <c r="AC78" s="2">
        <v>0.18157113699999999</v>
      </c>
      <c r="AD78" s="2">
        <v>1.0143068669999999</v>
      </c>
      <c r="AE78" s="2">
        <v>1.651253565</v>
      </c>
      <c r="AF78" s="2">
        <v>9.7378062070000002</v>
      </c>
      <c r="AG78" s="2">
        <v>50.904345599999999</v>
      </c>
      <c r="AH78" s="2">
        <v>11.188812840000001</v>
      </c>
      <c r="AI78" s="2">
        <v>12.423605</v>
      </c>
      <c r="AJ78" s="2">
        <v>31.061113299999999</v>
      </c>
      <c r="AK78" s="2">
        <v>1.0395658E-2</v>
      </c>
      <c r="AL78" s="2">
        <v>2.3319961770000002</v>
      </c>
      <c r="AM78" s="2">
        <v>8.4544337669999994</v>
      </c>
      <c r="AN78" s="2">
        <v>21.656666019999999</v>
      </c>
      <c r="AO78" s="2">
        <v>0.35574387200000002</v>
      </c>
      <c r="AP78" s="2">
        <v>1.453393076</v>
      </c>
      <c r="AQ78" s="2">
        <v>28.161085069999999</v>
      </c>
      <c r="CN78">
        <v>16.226336450000002</v>
      </c>
      <c r="CO78">
        <v>21.24464536</v>
      </c>
      <c r="CP78">
        <v>27.408815090000001</v>
      </c>
      <c r="CQ78">
        <v>39.691962539999999</v>
      </c>
      <c r="CR78">
        <v>49.949947760000001</v>
      </c>
      <c r="CS78">
        <v>2.2714500480000002</v>
      </c>
      <c r="CT78">
        <v>5.5986858440000002</v>
      </c>
      <c r="CU78">
        <v>10.13989728</v>
      </c>
      <c r="CV78">
        <v>22.743169210000001</v>
      </c>
      <c r="CW78">
        <v>327.44589289999999</v>
      </c>
      <c r="DE78">
        <v>721.67935499999999</v>
      </c>
      <c r="DG78" s="1"/>
    </row>
    <row r="79" spans="1:111" x14ac:dyDescent="0.35">
      <c r="A79" t="s">
        <v>178</v>
      </c>
      <c r="B79" t="s">
        <v>79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>
        <v>1.8183210009999999</v>
      </c>
      <c r="U79" s="2">
        <v>0.80936395800000005</v>
      </c>
      <c r="V79" s="2">
        <v>1.804921649</v>
      </c>
      <c r="W79" s="2">
        <v>0.49963386599999998</v>
      </c>
      <c r="X79" s="2">
        <v>0.13735971899999999</v>
      </c>
      <c r="Y79" s="2">
        <v>8.6499927840000002</v>
      </c>
      <c r="Z79" s="2">
        <v>0.55820951100000005</v>
      </c>
      <c r="AA79" s="2">
        <v>0.13193332699999999</v>
      </c>
      <c r="AB79" s="2">
        <v>0.700858282</v>
      </c>
      <c r="AC79" s="2">
        <v>3.7306982000000002E-2</v>
      </c>
      <c r="AD79" s="2">
        <v>1.012474023</v>
      </c>
      <c r="AE79" s="2">
        <v>0.52034362899999997</v>
      </c>
      <c r="AF79" s="2">
        <v>17.441564540000002</v>
      </c>
      <c r="AG79" s="2">
        <v>5.6827815509999997</v>
      </c>
      <c r="AH79" s="2">
        <v>11.307855930000001</v>
      </c>
      <c r="AI79" s="2">
        <v>2.5920688639999998</v>
      </c>
      <c r="AJ79" s="2">
        <v>7.6957132709999998</v>
      </c>
      <c r="AK79" s="2">
        <v>0.103333387</v>
      </c>
      <c r="AL79" s="2">
        <v>2.1030373990000002</v>
      </c>
      <c r="AM79" s="2">
        <v>9.904070226</v>
      </c>
      <c r="AN79" s="2">
        <v>440.13346430000001</v>
      </c>
      <c r="AO79" s="2">
        <v>15.182598710000001</v>
      </c>
      <c r="AP79" s="2">
        <v>5.3516371319999996</v>
      </c>
      <c r="AQ79" s="2">
        <v>16.76568554</v>
      </c>
      <c r="CN79">
        <v>4.1064857139999997</v>
      </c>
      <c r="CO79">
        <v>7.0322599849999996</v>
      </c>
      <c r="CP79">
        <v>8.4375545079999998</v>
      </c>
      <c r="CQ79">
        <v>13.008699760000001</v>
      </c>
      <c r="CR79">
        <v>14.54327777</v>
      </c>
      <c r="CS79">
        <v>0.69215930699999995</v>
      </c>
      <c r="CT79">
        <v>1.6426268669999999</v>
      </c>
      <c r="CU79">
        <v>3.9528418360000002</v>
      </c>
      <c r="CV79">
        <v>6.3705097540000004</v>
      </c>
      <c r="CW79">
        <v>49.826284950000002</v>
      </c>
      <c r="DD79">
        <v>49.412604160000001</v>
      </c>
      <c r="DE79">
        <v>709.96983420000004</v>
      </c>
      <c r="DG79" s="1"/>
    </row>
    <row r="80" spans="1:111" x14ac:dyDescent="0.35">
      <c r="A80" t="s">
        <v>179</v>
      </c>
      <c r="B80" t="s">
        <v>80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>
        <v>24.45076736</v>
      </c>
      <c r="AG80" s="2"/>
      <c r="AH80" s="2">
        <v>35.35198063</v>
      </c>
      <c r="AI80" s="2"/>
      <c r="AJ80" s="2">
        <v>56.556073099999999</v>
      </c>
      <c r="AK80" s="2"/>
      <c r="AL80" s="2"/>
      <c r="AM80" s="2"/>
      <c r="AN80" s="2"/>
      <c r="AO80" s="2"/>
      <c r="AP80" s="2"/>
      <c r="AQ80" s="2"/>
      <c r="CN80">
        <v>1.714097392</v>
      </c>
      <c r="CO80">
        <v>2.2202664830000001</v>
      </c>
      <c r="CP80">
        <v>4.1309039109999999</v>
      </c>
      <c r="CQ80">
        <v>5.774440909</v>
      </c>
      <c r="CR80">
        <v>9.1789356069999997</v>
      </c>
      <c r="CS80">
        <v>0.130338183</v>
      </c>
      <c r="CT80">
        <v>0.24771884699999999</v>
      </c>
      <c r="CU80">
        <v>0.46423636600000001</v>
      </c>
      <c r="CV80">
        <v>1.1076178940000001</v>
      </c>
      <c r="CW80">
        <v>33.585083609999998</v>
      </c>
      <c r="CX80">
        <v>1124.0090419999999</v>
      </c>
      <c r="DD80">
        <v>214.5442888</v>
      </c>
      <c r="DE80">
        <v>1513.4657910000001</v>
      </c>
      <c r="DG80" s="1">
        <f>CX80/DE80</f>
        <v>0.74267224848030933</v>
      </c>
    </row>
    <row r="81" spans="1:111" x14ac:dyDescent="0.35">
      <c r="A81" t="s">
        <v>180</v>
      </c>
      <c r="B81" t="s">
        <v>81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>
        <v>4.5037989E-2</v>
      </c>
      <c r="U81" s="2">
        <v>0.13241841700000001</v>
      </c>
      <c r="V81" s="2">
        <v>2.4452330000000002E-3</v>
      </c>
      <c r="W81" s="2">
        <v>0.28396355000000001</v>
      </c>
      <c r="X81" s="2">
        <v>6.8453932999999995E-2</v>
      </c>
      <c r="Y81" s="2">
        <v>4.5640888049999999</v>
      </c>
      <c r="Z81" s="2">
        <v>2.8616678999999999E-2</v>
      </c>
      <c r="AA81" s="2">
        <v>3.5540279999999999E-3</v>
      </c>
      <c r="AB81" s="2">
        <v>8.5255799999999996E-3</v>
      </c>
      <c r="AC81" s="2">
        <v>6.3494329000000002E-2</v>
      </c>
      <c r="AD81" s="2">
        <v>0.18626836899999999</v>
      </c>
      <c r="AE81" s="2">
        <v>0.15594785</v>
      </c>
      <c r="AF81" s="2">
        <v>0.37551767000000003</v>
      </c>
      <c r="AG81" s="2">
        <v>9.3501636999999999E-2</v>
      </c>
      <c r="AH81" s="2">
        <v>5.1131863E-2</v>
      </c>
      <c r="AI81" s="2">
        <v>0.17089470500000001</v>
      </c>
      <c r="AJ81" s="2"/>
      <c r="AK81" s="2">
        <v>0.100947415</v>
      </c>
      <c r="AL81" s="2">
        <v>5.9070699999999999E-4</v>
      </c>
      <c r="AM81" s="2">
        <v>0.593273987</v>
      </c>
      <c r="AN81" s="2"/>
      <c r="AO81" s="2">
        <v>10.497332869999999</v>
      </c>
      <c r="AP81" s="2">
        <v>2.7953224149999998</v>
      </c>
      <c r="AQ81" s="2">
        <v>2.9419221150000001</v>
      </c>
      <c r="CN81">
        <v>3.4919890200000001</v>
      </c>
      <c r="CO81">
        <v>6.1896693279999999</v>
      </c>
      <c r="CP81">
        <v>10.590874700000001</v>
      </c>
      <c r="CQ81">
        <v>20.726033189999999</v>
      </c>
      <c r="CR81">
        <v>33.184694350000001</v>
      </c>
      <c r="CS81">
        <v>0.411145451</v>
      </c>
      <c r="CT81">
        <v>1.1556079939999999</v>
      </c>
      <c r="CU81">
        <v>2.1928366719999999</v>
      </c>
      <c r="CV81">
        <v>6.0671926569999997</v>
      </c>
      <c r="CW81">
        <v>118.28904540000001</v>
      </c>
      <c r="CX81">
        <v>291.52054140000001</v>
      </c>
      <c r="DE81">
        <v>516.98288030000003</v>
      </c>
      <c r="DG81" s="1">
        <f t="shared" ref="DG81:DG83" si="1">CX81/DE81</f>
        <v>0.56388819148292402</v>
      </c>
    </row>
    <row r="82" spans="1:111" x14ac:dyDescent="0.35">
      <c r="A82" t="s">
        <v>181</v>
      </c>
      <c r="B82" t="s">
        <v>82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>
        <v>0.31833910100000001</v>
      </c>
      <c r="AO82" s="2"/>
      <c r="AP82" s="2"/>
      <c r="AQ82" s="2"/>
      <c r="CN82">
        <v>8.0536519010000003</v>
      </c>
      <c r="CO82">
        <v>9.637586228</v>
      </c>
      <c r="CP82">
        <v>10.793382100000001</v>
      </c>
      <c r="CQ82">
        <v>13.88382476</v>
      </c>
      <c r="CR82">
        <v>16.952571030000001</v>
      </c>
      <c r="CS82">
        <v>0.71497318499999996</v>
      </c>
      <c r="CT82">
        <v>1.4959832280000001</v>
      </c>
      <c r="CU82">
        <v>1.6170857199999999</v>
      </c>
      <c r="CV82">
        <v>3.202820676</v>
      </c>
      <c r="CW82">
        <v>38.702870249999997</v>
      </c>
      <c r="CX82">
        <v>279.86569150000003</v>
      </c>
      <c r="DE82">
        <v>385.23877970000001</v>
      </c>
      <c r="DG82" s="1">
        <f t="shared" si="1"/>
        <v>0.72647331018424988</v>
      </c>
    </row>
    <row r="83" spans="1:111" x14ac:dyDescent="0.35">
      <c r="A83" t="s">
        <v>182</v>
      </c>
      <c r="B83" t="s">
        <v>83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>
        <v>11.33487309</v>
      </c>
      <c r="AO83" s="2">
        <v>3.7871334449999998</v>
      </c>
      <c r="AP83" s="2">
        <v>0.13594724399999999</v>
      </c>
      <c r="AQ83" s="2"/>
      <c r="BV83" s="5"/>
      <c r="BW83" s="5"/>
      <c r="CN83">
        <v>15.33196234</v>
      </c>
      <c r="CO83">
        <v>25.222073269999999</v>
      </c>
      <c r="CP83">
        <v>33.547272370000002</v>
      </c>
      <c r="CQ83">
        <v>62.74707798</v>
      </c>
      <c r="CR83">
        <v>81.96140527</v>
      </c>
      <c r="CS83">
        <v>1.1885979339999999</v>
      </c>
      <c r="CT83">
        <v>2.591333949</v>
      </c>
      <c r="CU83">
        <v>5.7009605270000003</v>
      </c>
      <c r="CV83">
        <v>10.879707140000001</v>
      </c>
      <c r="CW83">
        <v>339.96009070000002</v>
      </c>
      <c r="CX83">
        <v>114.090941</v>
      </c>
      <c r="DD83">
        <v>4.3407421910000004</v>
      </c>
      <c r="DE83">
        <v>712.82011850000004</v>
      </c>
      <c r="DG83" s="1">
        <f t="shared" si="1"/>
        <v>0.16005572519485503</v>
      </c>
    </row>
    <row r="84" spans="1:111" x14ac:dyDescent="0.35">
      <c r="A84" t="s">
        <v>183</v>
      </c>
      <c r="B84" t="s">
        <v>84</v>
      </c>
      <c r="AR84">
        <v>0.84132761099999998</v>
      </c>
      <c r="AS84">
        <v>0.54152721500000001</v>
      </c>
      <c r="AT84">
        <v>0.61199126599999998</v>
      </c>
      <c r="AU84">
        <v>6.2202853899999999</v>
      </c>
      <c r="AV84">
        <v>5.3214393309999997</v>
      </c>
      <c r="AW84">
        <v>19.84095014</v>
      </c>
      <c r="AX84">
        <v>8.4050215220000002</v>
      </c>
      <c r="AY84">
        <v>0.35905258699999998</v>
      </c>
      <c r="AZ84">
        <v>6.7980235999999999E-2</v>
      </c>
      <c r="BA84">
        <v>28.997246950000001</v>
      </c>
      <c r="BB84">
        <v>1.1664232569999999</v>
      </c>
      <c r="BC84">
        <v>0.58621051199999996</v>
      </c>
      <c r="BD84">
        <v>3.0771970569999998</v>
      </c>
      <c r="BE84">
        <v>2.126889432</v>
      </c>
      <c r="BF84">
        <v>1.1936027499999999</v>
      </c>
      <c r="BG84">
        <v>40.064293190000001</v>
      </c>
      <c r="BH84">
        <v>2.940521178</v>
      </c>
      <c r="BI84">
        <v>211.66776540000001</v>
      </c>
      <c r="BJ84">
        <v>108.8332789</v>
      </c>
      <c r="BK84">
        <v>51.237872420000002</v>
      </c>
      <c r="BL84">
        <v>190.8632379</v>
      </c>
      <c r="BM84">
        <v>14.775741890000001</v>
      </c>
      <c r="BN84">
        <v>232.9700957</v>
      </c>
      <c r="BO84">
        <v>43.931105260000002</v>
      </c>
      <c r="BP84">
        <v>59.385460889999997</v>
      </c>
      <c r="BQ84">
        <v>340.18534219999998</v>
      </c>
      <c r="BR84">
        <v>15.71093102</v>
      </c>
      <c r="BV84" s="4"/>
      <c r="BW84" s="4"/>
      <c r="BY84">
        <v>2.7614339550000002</v>
      </c>
      <c r="DE84">
        <v>1394.684225</v>
      </c>
    </row>
    <row r="85" spans="1:111" x14ac:dyDescent="0.35">
      <c r="A85" t="s">
        <v>184</v>
      </c>
      <c r="B85" t="s">
        <v>85</v>
      </c>
      <c r="C85">
        <v>6.287863679</v>
      </c>
      <c r="D85">
        <v>4.7234894389999997</v>
      </c>
      <c r="E85">
        <v>3.3291153250000001</v>
      </c>
      <c r="F85">
        <v>14.202371530000001</v>
      </c>
      <c r="G85">
        <v>5.9071420200000002</v>
      </c>
      <c r="H85">
        <v>38.276636879999998</v>
      </c>
      <c r="I85">
        <v>11.105517799999999</v>
      </c>
      <c r="J85">
        <v>2.3988466310000001</v>
      </c>
      <c r="K85">
        <v>6.1065331E-2</v>
      </c>
      <c r="L85">
        <v>49.37018578</v>
      </c>
      <c r="M85">
        <v>13.28995215</v>
      </c>
      <c r="N85">
        <v>3.199781915</v>
      </c>
      <c r="O85">
        <v>17.95399587</v>
      </c>
      <c r="P85">
        <v>2.2967644819999999</v>
      </c>
      <c r="Q85">
        <v>5.7478547659999997</v>
      </c>
      <c r="R85">
        <v>172.1295811</v>
      </c>
      <c r="S85">
        <v>13.408540220000001</v>
      </c>
      <c r="T85">
        <v>42.504685719999998</v>
      </c>
      <c r="U85">
        <v>46.856356409999997</v>
      </c>
      <c r="V85">
        <v>10.554627010000001</v>
      </c>
      <c r="W85">
        <v>12.047432519999999</v>
      </c>
      <c r="X85">
        <v>3.8869919340000001</v>
      </c>
      <c r="Y85">
        <v>1.0258913970000001</v>
      </c>
      <c r="Z85">
        <v>3.7864265179999999</v>
      </c>
      <c r="AA85">
        <v>1.7228746269999999</v>
      </c>
      <c r="AB85">
        <v>9.3358626289999993</v>
      </c>
      <c r="AC85">
        <v>1.3826131189999999</v>
      </c>
      <c r="AD85">
        <v>6.7185827659999999</v>
      </c>
      <c r="AE85">
        <v>5.5272608270000001</v>
      </c>
      <c r="AF85">
        <v>119.62968650000001</v>
      </c>
      <c r="AG85">
        <v>135.54172629999999</v>
      </c>
      <c r="AH85">
        <v>66.004562780000001</v>
      </c>
      <c r="AI85">
        <v>7.9356184030000003</v>
      </c>
      <c r="AJ85">
        <v>0.99904259799999995</v>
      </c>
      <c r="AK85">
        <v>0.84699783500000003</v>
      </c>
      <c r="AL85">
        <v>1.2126594079999999</v>
      </c>
      <c r="AM85">
        <v>19.6874489</v>
      </c>
      <c r="AN85">
        <v>31.545567909999999</v>
      </c>
      <c r="AO85">
        <v>3.0397382039999998</v>
      </c>
      <c r="AP85">
        <v>4.2423025369999996</v>
      </c>
      <c r="AQ85">
        <v>70.279726859999997</v>
      </c>
      <c r="DD85">
        <v>2.1984520490000001</v>
      </c>
      <c r="DE85">
        <v>972.20184070000005</v>
      </c>
    </row>
    <row r="86" spans="1:111" x14ac:dyDescent="0.35">
      <c r="A86" t="s">
        <v>214</v>
      </c>
      <c r="B86" t="s">
        <v>86</v>
      </c>
      <c r="C86">
        <v>20.86547028</v>
      </c>
      <c r="D86">
        <v>15.73813054</v>
      </c>
      <c r="E86">
        <v>11.041920490000001</v>
      </c>
      <c r="F86">
        <v>45.031244729999997</v>
      </c>
      <c r="G86">
        <v>17.838000990000001</v>
      </c>
      <c r="H86">
        <v>114.2006464</v>
      </c>
      <c r="I86">
        <v>35.291684500000002</v>
      </c>
      <c r="J86">
        <v>7.1756838260000002</v>
      </c>
      <c r="K86">
        <v>2.9600932709999999</v>
      </c>
      <c r="L86">
        <v>165.92482440000001</v>
      </c>
      <c r="M86">
        <v>61.595611359999999</v>
      </c>
      <c r="N86">
        <v>8.5542764249999994</v>
      </c>
      <c r="O86">
        <v>51.750812029999999</v>
      </c>
      <c r="P86">
        <v>13.016278679999999</v>
      </c>
      <c r="Q86">
        <v>15.234342310000001</v>
      </c>
      <c r="R86">
        <v>213.50145900000001</v>
      </c>
      <c r="S86">
        <v>11.14739249</v>
      </c>
      <c r="T86">
        <v>70.011447430000004</v>
      </c>
      <c r="U86">
        <v>61.586796110000002</v>
      </c>
      <c r="V86">
        <v>12.05883788</v>
      </c>
      <c r="W86">
        <v>16.177892629999999</v>
      </c>
      <c r="X86">
        <v>3.4078436330000001</v>
      </c>
      <c r="Y86">
        <v>1.153819164</v>
      </c>
      <c r="Z86">
        <v>4.6635760709999996</v>
      </c>
      <c r="AA86">
        <v>1.6546833599999999</v>
      </c>
      <c r="AB86">
        <v>19.168473769999999</v>
      </c>
      <c r="AC86">
        <v>3.653026723</v>
      </c>
      <c r="AD86">
        <v>4.6285558140000003</v>
      </c>
      <c r="AE86">
        <v>4.6245326909999998</v>
      </c>
      <c r="AF86">
        <v>223.49790659999999</v>
      </c>
      <c r="AG86">
        <v>142.36851110000001</v>
      </c>
      <c r="AH86">
        <v>78.621040960000002</v>
      </c>
      <c r="AI86">
        <v>17.723682740000001</v>
      </c>
      <c r="AJ86">
        <v>1.0827781940000001</v>
      </c>
      <c r="AK86">
        <v>3.3823607519999999</v>
      </c>
      <c r="AL86">
        <v>6.1846889269999998</v>
      </c>
      <c r="AM86">
        <v>27.462334819999999</v>
      </c>
      <c r="AN86">
        <v>43.665130830000003</v>
      </c>
      <c r="AO86">
        <v>4.1265341639999997</v>
      </c>
      <c r="AP86">
        <v>1.675787191</v>
      </c>
      <c r="AQ86">
        <v>94.449290759999997</v>
      </c>
      <c r="DD86">
        <v>3.7575208369999999</v>
      </c>
      <c r="DE86">
        <v>1661.654925</v>
      </c>
    </row>
    <row r="87" spans="1:111" x14ac:dyDescent="0.35">
      <c r="A87" t="s">
        <v>185</v>
      </c>
      <c r="B87" t="s">
        <v>87</v>
      </c>
      <c r="C87">
        <v>4.845538543</v>
      </c>
      <c r="D87">
        <v>3.5669802499999999</v>
      </c>
      <c r="E87">
        <v>2.594238668</v>
      </c>
      <c r="F87">
        <v>10.932685749999999</v>
      </c>
      <c r="G87">
        <v>3.2962803159999998</v>
      </c>
      <c r="H87">
        <v>26.383791120000001</v>
      </c>
      <c r="I87">
        <v>8.4213759049999997</v>
      </c>
      <c r="J87">
        <v>2.3681286689999999</v>
      </c>
      <c r="K87">
        <v>0.120646662</v>
      </c>
      <c r="L87">
        <v>36.257747539999997</v>
      </c>
      <c r="M87">
        <v>6.5013666280000004</v>
      </c>
      <c r="N87">
        <v>3.2489567250000002</v>
      </c>
      <c r="O87">
        <v>39.805171979999997</v>
      </c>
      <c r="P87">
        <v>5.6224732599999996</v>
      </c>
      <c r="Q87">
        <v>7.6574925130000002</v>
      </c>
      <c r="R87">
        <v>10.0057037</v>
      </c>
      <c r="S87">
        <v>0.95038690800000003</v>
      </c>
      <c r="T87">
        <v>35.254894350000001</v>
      </c>
      <c r="U87">
        <v>60.13160689</v>
      </c>
      <c r="V87">
        <v>67.954996019999996</v>
      </c>
      <c r="W87">
        <v>11.48490365</v>
      </c>
      <c r="X87">
        <v>7.5758204810000001</v>
      </c>
      <c r="Y87">
        <v>14.27157485</v>
      </c>
      <c r="Z87">
        <v>1.18052756</v>
      </c>
      <c r="AA87">
        <v>1.1744935569999999</v>
      </c>
      <c r="AB87">
        <v>5.1748921880000003</v>
      </c>
      <c r="AC87">
        <v>2.498139986</v>
      </c>
      <c r="AD87">
        <v>42.293501159999998</v>
      </c>
      <c r="AE87">
        <v>24.76104913</v>
      </c>
      <c r="AF87">
        <v>85.101967900000005</v>
      </c>
      <c r="AG87">
        <v>295.00211860000002</v>
      </c>
      <c r="AH87">
        <v>216.99761319999999</v>
      </c>
      <c r="AI87">
        <v>19.988352020000001</v>
      </c>
      <c r="AJ87">
        <v>87.731486529999998</v>
      </c>
      <c r="AK87">
        <v>166.50683549999999</v>
      </c>
      <c r="AL87">
        <v>122.07636720000001</v>
      </c>
      <c r="AM87">
        <v>266.43748849999997</v>
      </c>
      <c r="AN87">
        <v>515.82339469999999</v>
      </c>
      <c r="AO87">
        <v>244.4916858</v>
      </c>
      <c r="AP87">
        <v>131.53282329999999</v>
      </c>
      <c r="AQ87">
        <v>302.58230639999999</v>
      </c>
      <c r="DD87">
        <v>6.5740462839999996</v>
      </c>
      <c r="DE87">
        <v>2907.1818509999998</v>
      </c>
    </row>
    <row r="88" spans="1:111" x14ac:dyDescent="0.35">
      <c r="A88" t="s">
        <v>186</v>
      </c>
      <c r="B88" t="s">
        <v>88</v>
      </c>
      <c r="C88">
        <v>34.684301150000003</v>
      </c>
      <c r="D88">
        <v>23.026812169999999</v>
      </c>
      <c r="E88">
        <v>20.17162527</v>
      </c>
      <c r="F88">
        <v>47.697181290000003</v>
      </c>
      <c r="G88">
        <v>25.953276469999999</v>
      </c>
      <c r="H88">
        <v>188.46924580000001</v>
      </c>
      <c r="I88">
        <v>46.090167610000002</v>
      </c>
      <c r="J88">
        <v>7.8154487509999999</v>
      </c>
      <c r="K88">
        <v>2.0406222490000001</v>
      </c>
      <c r="L88">
        <v>223.7197764</v>
      </c>
      <c r="M88">
        <v>22.365728069999999</v>
      </c>
      <c r="N88">
        <v>9.3738036830000002</v>
      </c>
      <c r="DE88">
        <v>651.40798889999996</v>
      </c>
    </row>
    <row r="89" spans="1:111" x14ac:dyDescent="0.35">
      <c r="A89" t="s">
        <v>187</v>
      </c>
      <c r="B89" t="s">
        <v>89</v>
      </c>
      <c r="C89">
        <v>5.9590726040000002</v>
      </c>
      <c r="D89">
        <v>5.7928326339999998</v>
      </c>
      <c r="E89">
        <v>2.931668927</v>
      </c>
      <c r="F89">
        <v>19.057522580000001</v>
      </c>
      <c r="G89">
        <v>5.6347325809999997</v>
      </c>
      <c r="H89">
        <v>34.835167030000001</v>
      </c>
      <c r="I89">
        <v>12.666915360000001</v>
      </c>
      <c r="J89">
        <v>2.5636877889999998</v>
      </c>
      <c r="K89">
        <v>0.66329730399999998</v>
      </c>
      <c r="L89">
        <v>57.922558289999998</v>
      </c>
      <c r="M89">
        <v>15.18251079</v>
      </c>
      <c r="N89">
        <v>3.9541373630000001</v>
      </c>
      <c r="O89">
        <v>128.51533739999999</v>
      </c>
      <c r="P89">
        <v>25.418917990000001</v>
      </c>
      <c r="Q89">
        <v>33.907434790000003</v>
      </c>
      <c r="R89">
        <v>261.98379740000001</v>
      </c>
      <c r="S89">
        <v>15.447587589999999</v>
      </c>
      <c r="T89">
        <v>159.2162711</v>
      </c>
      <c r="U89">
        <v>174.77164010000001</v>
      </c>
      <c r="V89">
        <v>149.0835404</v>
      </c>
      <c r="W89">
        <v>57.483284609999998</v>
      </c>
      <c r="X89">
        <v>24.6340012</v>
      </c>
      <c r="Y89">
        <v>68.635485450000004</v>
      </c>
      <c r="Z89">
        <v>39.479627530000002</v>
      </c>
      <c r="AA89">
        <v>10.78301383</v>
      </c>
      <c r="AB89">
        <v>77.685944109999994</v>
      </c>
      <c r="AC89">
        <v>17.813718690000002</v>
      </c>
      <c r="AD89">
        <v>41.362670659999999</v>
      </c>
      <c r="AE89">
        <v>27.106514780000001</v>
      </c>
      <c r="AF89">
        <v>329.83068830000002</v>
      </c>
      <c r="AG89">
        <v>532.67182909999997</v>
      </c>
      <c r="AH89">
        <v>242.37423229999999</v>
      </c>
      <c r="AI89">
        <v>60.350927120000001</v>
      </c>
      <c r="AJ89">
        <v>129.04874480000001</v>
      </c>
      <c r="AK89">
        <v>110.2904391</v>
      </c>
      <c r="AL89">
        <v>565.26938689999997</v>
      </c>
      <c r="AM89">
        <v>257.6791533</v>
      </c>
      <c r="AO89">
        <v>74.328368879999999</v>
      </c>
      <c r="AP89">
        <v>55.555620130000001</v>
      </c>
      <c r="AQ89">
        <v>65.68203346</v>
      </c>
      <c r="DD89">
        <v>8.3381826330000006</v>
      </c>
      <c r="DE89">
        <v>3911.9124969999998</v>
      </c>
    </row>
    <row r="90" spans="1:111" x14ac:dyDescent="0.35">
      <c r="A90" t="s">
        <v>188</v>
      </c>
      <c r="B90" t="s">
        <v>90</v>
      </c>
      <c r="CL90">
        <v>3107.6919339999999</v>
      </c>
      <c r="CX90">
        <v>678.70074260000001</v>
      </c>
      <c r="DD90">
        <v>77.103074149999998</v>
      </c>
      <c r="DE90">
        <v>3863.4957509999999</v>
      </c>
    </row>
    <row r="91" spans="1:111" x14ac:dyDescent="0.35">
      <c r="A91" t="s">
        <v>189</v>
      </c>
      <c r="B91" t="s">
        <v>91</v>
      </c>
      <c r="CH91">
        <v>135.72907499999999</v>
      </c>
      <c r="CI91">
        <v>181.69090449999999</v>
      </c>
      <c r="CJ91">
        <v>10.367272</v>
      </c>
      <c r="CK91">
        <v>27.127361629999999</v>
      </c>
      <c r="CL91">
        <v>22.480721379999999</v>
      </c>
      <c r="CM91">
        <v>32.058173699999998</v>
      </c>
      <c r="CX91">
        <v>2.0760267259999998</v>
      </c>
      <c r="DD91">
        <v>4.2475958570000003</v>
      </c>
      <c r="DE91">
        <v>415.77713069999999</v>
      </c>
    </row>
    <row r="92" spans="1:111" x14ac:dyDescent="0.35">
      <c r="A92" t="s">
        <v>190</v>
      </c>
      <c r="B92" t="s">
        <v>92</v>
      </c>
      <c r="CH92">
        <v>140.5897434</v>
      </c>
      <c r="CI92">
        <v>242.30824630000001</v>
      </c>
      <c r="CJ92">
        <v>31.921155129999999</v>
      </c>
      <c r="CK92">
        <v>58.885360740000003</v>
      </c>
      <c r="CL92">
        <v>50.37827326</v>
      </c>
      <c r="CM92">
        <v>98.779840320000005</v>
      </c>
      <c r="CX92">
        <v>2.025795252</v>
      </c>
      <c r="DD92">
        <v>6.2598272530000001</v>
      </c>
      <c r="DE92">
        <v>631.14824160000001</v>
      </c>
    </row>
    <row r="93" spans="1:111" x14ac:dyDescent="0.35">
      <c r="A93" t="s">
        <v>191</v>
      </c>
      <c r="B93" t="s">
        <v>93</v>
      </c>
      <c r="CH93">
        <v>158.83413540000001</v>
      </c>
      <c r="CI93">
        <v>296.86856440000003</v>
      </c>
      <c r="CJ93">
        <v>47.481018599999999</v>
      </c>
      <c r="CK93">
        <v>106.0160719</v>
      </c>
      <c r="CL93">
        <v>89.468880470000002</v>
      </c>
      <c r="CM93">
        <v>146.57276519999999</v>
      </c>
      <c r="CX93">
        <v>2.3342779829999998</v>
      </c>
      <c r="DD93">
        <v>13.91044189</v>
      </c>
      <c r="DE93">
        <v>861.48615580000001</v>
      </c>
    </row>
    <row r="94" spans="1:111" x14ac:dyDescent="0.35">
      <c r="A94" t="s">
        <v>192</v>
      </c>
      <c r="B94" t="s">
        <v>94</v>
      </c>
      <c r="CH94">
        <v>174.4721558</v>
      </c>
      <c r="CI94">
        <v>330.2628502</v>
      </c>
      <c r="CJ94">
        <v>105.0818901</v>
      </c>
      <c r="CK94">
        <v>198.0789551</v>
      </c>
      <c r="CL94">
        <v>174.0862477</v>
      </c>
      <c r="CM94">
        <v>266.05820540000002</v>
      </c>
      <c r="CX94">
        <v>2.7144275470000001</v>
      </c>
      <c r="DD94">
        <v>22.165834310000001</v>
      </c>
      <c r="DE94">
        <v>1272.920566</v>
      </c>
    </row>
    <row r="95" spans="1:111" x14ac:dyDescent="0.35">
      <c r="A95" t="s">
        <v>193</v>
      </c>
      <c r="B95" t="s">
        <v>95</v>
      </c>
      <c r="CH95">
        <v>87.580433869999993</v>
      </c>
      <c r="CI95">
        <v>192.08640689999999</v>
      </c>
      <c r="CJ95">
        <v>314.01272669999997</v>
      </c>
      <c r="CK95">
        <v>184.34324570000001</v>
      </c>
      <c r="CL95">
        <v>164.0399591</v>
      </c>
      <c r="CM95">
        <v>526.86378660000003</v>
      </c>
      <c r="CX95">
        <v>3.5891341049999999</v>
      </c>
      <c r="DD95">
        <v>46.289914850000002</v>
      </c>
      <c r="DE95">
        <v>1518.8056079999999</v>
      </c>
    </row>
    <row r="96" spans="1:111" x14ac:dyDescent="0.35">
      <c r="A96" t="s">
        <v>194</v>
      </c>
      <c r="B96" t="s">
        <v>96</v>
      </c>
      <c r="CH96">
        <v>15.283978340000001</v>
      </c>
      <c r="CI96">
        <v>11.224772789999999</v>
      </c>
      <c r="CJ96">
        <v>2.2063988320000001</v>
      </c>
      <c r="CK96">
        <v>0.642814844</v>
      </c>
      <c r="CL96">
        <v>0.53910443600000002</v>
      </c>
      <c r="CM96">
        <v>3.8660496289999999</v>
      </c>
      <c r="CX96">
        <v>0.163285333</v>
      </c>
      <c r="DD96">
        <v>0.191962826</v>
      </c>
      <c r="DE96">
        <v>34.118367030000002</v>
      </c>
    </row>
    <row r="97" spans="1:109" x14ac:dyDescent="0.35">
      <c r="A97" t="s">
        <v>195</v>
      </c>
      <c r="B97" t="s">
        <v>97</v>
      </c>
      <c r="CH97">
        <v>23.43770434</v>
      </c>
      <c r="CI97">
        <v>25.3741384</v>
      </c>
      <c r="CJ97">
        <v>6.8570299629999996</v>
      </c>
      <c r="CK97">
        <v>1.9774086209999999</v>
      </c>
      <c r="CL97">
        <v>1.893281929</v>
      </c>
      <c r="CM97">
        <v>13.882572590000001</v>
      </c>
      <c r="CX97">
        <v>0.25973638300000002</v>
      </c>
      <c r="DD97">
        <v>0.52951705999999998</v>
      </c>
      <c r="DE97">
        <v>74.21138929</v>
      </c>
    </row>
    <row r="98" spans="1:109" x14ac:dyDescent="0.35">
      <c r="A98" t="s">
        <v>196</v>
      </c>
      <c r="B98" t="s">
        <v>98</v>
      </c>
      <c r="CH98">
        <v>32.100064709999998</v>
      </c>
      <c r="CI98">
        <v>42.657500400000004</v>
      </c>
      <c r="CJ98">
        <v>14.82478785</v>
      </c>
      <c r="CK98">
        <v>5.6790124000000004</v>
      </c>
      <c r="CL98">
        <v>5.3488875509999998</v>
      </c>
      <c r="CM98">
        <v>26.386757419999999</v>
      </c>
      <c r="CX98">
        <v>0.28832746199999998</v>
      </c>
      <c r="DD98">
        <v>0.87767168900000003</v>
      </c>
      <c r="DE98">
        <v>128.16300949999999</v>
      </c>
    </row>
    <row r="99" spans="1:109" x14ac:dyDescent="0.35">
      <c r="A99" t="s">
        <v>197</v>
      </c>
      <c r="B99" t="s">
        <v>99</v>
      </c>
      <c r="CH99">
        <v>49.472019009999997</v>
      </c>
      <c r="CI99">
        <v>77.446255190000002</v>
      </c>
      <c r="CJ99">
        <v>50.595367750000001</v>
      </c>
      <c r="CK99">
        <v>13.831020909999999</v>
      </c>
      <c r="CL99">
        <v>18.703820669999999</v>
      </c>
      <c r="CM99">
        <v>89.676929340000001</v>
      </c>
      <c r="CX99">
        <v>0.72741252999999995</v>
      </c>
      <c r="DD99">
        <v>2.035936086</v>
      </c>
      <c r="DE99">
        <v>302.48876150000001</v>
      </c>
    </row>
    <row r="100" spans="1:109" x14ac:dyDescent="0.35">
      <c r="A100" t="s">
        <v>198</v>
      </c>
      <c r="B100" t="s">
        <v>100</v>
      </c>
      <c r="CH100">
        <v>148.45425610000001</v>
      </c>
      <c r="CI100">
        <v>251.05594360000001</v>
      </c>
      <c r="CJ100">
        <v>2305.1499450000001</v>
      </c>
      <c r="CK100">
        <v>54.826737039999998</v>
      </c>
      <c r="CL100">
        <v>73.897730370000005</v>
      </c>
      <c r="CM100">
        <v>1873.0220879999999</v>
      </c>
      <c r="CX100">
        <v>13.433301670000001</v>
      </c>
      <c r="DD100">
        <v>291.31172859999998</v>
      </c>
      <c r="DE100">
        <v>5011.1517309999999</v>
      </c>
    </row>
    <row r="101" spans="1:109" x14ac:dyDescent="0.35">
      <c r="A101" t="s">
        <v>199</v>
      </c>
      <c r="B101" t="s">
        <v>101</v>
      </c>
      <c r="CM101">
        <v>24.698919249999999</v>
      </c>
      <c r="CN101">
        <v>0.89018146200000003</v>
      </c>
      <c r="CO101">
        <v>2.4679801210000001</v>
      </c>
      <c r="CP101">
        <v>3.5993056710000002</v>
      </c>
      <c r="CQ101">
        <v>7.3864593169999999</v>
      </c>
      <c r="CR101">
        <v>29.467515330000001</v>
      </c>
      <c r="CS101">
        <v>0.237653005</v>
      </c>
      <c r="CT101">
        <v>0.63172035999999998</v>
      </c>
      <c r="CU101">
        <v>1.2586361020000001</v>
      </c>
      <c r="CV101">
        <v>3.5723748080000002</v>
      </c>
      <c r="CW101">
        <v>182.2956241</v>
      </c>
      <c r="CY101">
        <v>696.07044110000004</v>
      </c>
      <c r="CZ101">
        <v>0.77914855199999999</v>
      </c>
      <c r="DA101">
        <v>123.84333289999999</v>
      </c>
      <c r="DB101">
        <v>734.97077209999998</v>
      </c>
      <c r="DD101">
        <v>486.06914799999998</v>
      </c>
      <c r="DE101">
        <v>2298.239212</v>
      </c>
    </row>
    <row r="102" spans="1:109" x14ac:dyDescent="0.35">
      <c r="A102" t="s">
        <v>200</v>
      </c>
      <c r="B102" t="s">
        <v>102</v>
      </c>
      <c r="CM102">
        <v>125.37043970000001</v>
      </c>
      <c r="CN102">
        <v>4.8610949779999997</v>
      </c>
      <c r="CO102">
        <v>13.522768080000001</v>
      </c>
      <c r="CP102">
        <v>19.47195258</v>
      </c>
      <c r="CQ102">
        <v>36.117459140000001</v>
      </c>
      <c r="CR102">
        <v>86.054422299999999</v>
      </c>
      <c r="CS102">
        <v>1.0273237289999999</v>
      </c>
      <c r="CT102">
        <v>2.4643551119999998</v>
      </c>
      <c r="CU102">
        <v>4.7905731520000003</v>
      </c>
      <c r="CV102">
        <v>11.624624560000001</v>
      </c>
      <c r="CW102">
        <v>390.7654278</v>
      </c>
      <c r="DE102">
        <v>696.07044110000004</v>
      </c>
    </row>
    <row r="103" spans="1:109" x14ac:dyDescent="0.35">
      <c r="A103" t="s">
        <v>201</v>
      </c>
      <c r="B103" t="s">
        <v>103</v>
      </c>
      <c r="CL103">
        <v>0.77914855199999999</v>
      </c>
      <c r="DE103">
        <v>0.77914855199999999</v>
      </c>
    </row>
    <row r="104" spans="1:109" x14ac:dyDescent="0.35">
      <c r="A104" t="s">
        <v>202</v>
      </c>
      <c r="B104" t="s">
        <v>104</v>
      </c>
      <c r="AR104">
        <v>0.255392436</v>
      </c>
      <c r="AU104">
        <v>4.1195470000000003E-3</v>
      </c>
      <c r="AV104">
        <v>5.9870701999999998E-2</v>
      </c>
      <c r="AX104">
        <v>1.3096900000000001E-3</v>
      </c>
      <c r="BA104">
        <v>0.17798968400000001</v>
      </c>
      <c r="BJ104">
        <v>9.1010037449999999</v>
      </c>
      <c r="BK104">
        <v>0.572624613</v>
      </c>
      <c r="BL104">
        <v>3.3166205550000001</v>
      </c>
      <c r="BM104">
        <v>4.8891375129999997</v>
      </c>
      <c r="BN104">
        <v>12.49576815</v>
      </c>
      <c r="BO104">
        <v>5.4797216439999996</v>
      </c>
      <c r="BP104">
        <v>15.40048489</v>
      </c>
      <c r="BQ104">
        <v>69.788420189999997</v>
      </c>
      <c r="BR104">
        <v>2.2453766669999999</v>
      </c>
      <c r="CB104">
        <v>6.1998900000000004E-4</v>
      </c>
      <c r="CF104">
        <v>5.4872902000000001E-2</v>
      </c>
      <c r="DE104">
        <v>123.84333289999999</v>
      </c>
    </row>
    <row r="105" spans="1:109" x14ac:dyDescent="0.35">
      <c r="A105" t="s">
        <v>215</v>
      </c>
      <c r="B105" t="s">
        <v>105</v>
      </c>
      <c r="AR105">
        <v>2.2809790999999999E-2</v>
      </c>
      <c r="AS105">
        <v>2.2523412349999998</v>
      </c>
      <c r="AT105">
        <v>1.6845280000000001E-2</v>
      </c>
      <c r="AU105">
        <v>0.14474096</v>
      </c>
      <c r="AV105">
        <v>0.207948359</v>
      </c>
      <c r="AW105">
        <v>0.32552340200000002</v>
      </c>
      <c r="AX105">
        <v>0.13585966599999999</v>
      </c>
      <c r="AY105">
        <v>8.4434320000000007E-3</v>
      </c>
      <c r="AZ105">
        <v>1.8750399999999999E-3</v>
      </c>
      <c r="BA105">
        <v>0.67732746399999999</v>
      </c>
      <c r="BB105">
        <v>9.2109570000000005E-3</v>
      </c>
      <c r="BC105">
        <v>6.9852899999999999E-3</v>
      </c>
      <c r="BD105">
        <v>3.4100751999999998E-2</v>
      </c>
      <c r="BE105">
        <v>6.0707800999999999E-2</v>
      </c>
      <c r="BF105">
        <v>4.2718603000000001E-2</v>
      </c>
      <c r="BG105">
        <v>1.16442691</v>
      </c>
      <c r="BH105">
        <v>8.0219332000000004E-2</v>
      </c>
      <c r="BI105">
        <v>3.3376516650000001</v>
      </c>
      <c r="BJ105">
        <v>31.53130234</v>
      </c>
      <c r="BK105">
        <v>64.244403790000007</v>
      </c>
      <c r="BL105">
        <v>12.63978067</v>
      </c>
      <c r="BM105">
        <v>9.373226163</v>
      </c>
      <c r="BN105">
        <v>34.460312500000001</v>
      </c>
      <c r="BO105">
        <v>24.799975490000001</v>
      </c>
      <c r="BP105">
        <v>32.622012120000001</v>
      </c>
      <c r="BQ105">
        <v>80.380773629999993</v>
      </c>
      <c r="BR105">
        <v>1.3251404879999999</v>
      </c>
      <c r="BS105">
        <v>236.90083390000001</v>
      </c>
      <c r="BT105">
        <v>21.14144692</v>
      </c>
      <c r="BU105">
        <v>17.702044709999999</v>
      </c>
      <c r="BV105">
        <v>9.9565318E-2</v>
      </c>
      <c r="BW105">
        <v>8.5845859139999998</v>
      </c>
      <c r="BX105">
        <v>11.23076779</v>
      </c>
      <c r="BY105">
        <v>83.293558709999999</v>
      </c>
      <c r="BZ105">
        <v>15.23595199</v>
      </c>
      <c r="CA105">
        <v>4.4962028270000003</v>
      </c>
      <c r="CB105">
        <v>14.816755390000001</v>
      </c>
      <c r="CD105">
        <v>0.19971045400000001</v>
      </c>
      <c r="CE105">
        <v>0.28405278699999997</v>
      </c>
      <c r="CF105">
        <v>21.078632280000001</v>
      </c>
      <c r="DE105">
        <v>734.97077209999998</v>
      </c>
    </row>
    <row r="106" spans="1:109" x14ac:dyDescent="0.35">
      <c r="A106" t="s">
        <v>203</v>
      </c>
      <c r="B106" t="s">
        <v>106</v>
      </c>
      <c r="CM106">
        <v>630.69408529999998</v>
      </c>
      <c r="CN106">
        <v>15.159290560000001</v>
      </c>
      <c r="CO106">
        <v>24.150461419999999</v>
      </c>
      <c r="CP106">
        <v>38.148941979999996</v>
      </c>
      <c r="CQ106">
        <v>79.485424129999998</v>
      </c>
      <c r="CR106">
        <v>102.5288851</v>
      </c>
      <c r="CS106">
        <v>1.2628866249999999</v>
      </c>
      <c r="CT106">
        <v>4.1332995099999996</v>
      </c>
      <c r="CU106">
        <v>5.1968635150000004</v>
      </c>
      <c r="CV106">
        <v>34.816234870000002</v>
      </c>
      <c r="CW106">
        <v>1135.7973549999999</v>
      </c>
      <c r="CX106">
        <v>-325.13620309999999</v>
      </c>
      <c r="DD106">
        <v>1124.608166</v>
      </c>
      <c r="DE106">
        <v>2870.845691</v>
      </c>
    </row>
    <row r="107" spans="1:109" x14ac:dyDescent="0.35">
      <c r="A107" t="s">
        <v>204</v>
      </c>
      <c r="B107" t="s">
        <v>107</v>
      </c>
      <c r="AR107">
        <v>14.090911350000001</v>
      </c>
      <c r="AT107">
        <v>11.35255941</v>
      </c>
      <c r="AU107">
        <v>1.307296496</v>
      </c>
      <c r="AV107">
        <v>13.75892893</v>
      </c>
      <c r="AX107">
        <v>2.0180470910000001</v>
      </c>
      <c r="BA107">
        <v>4.2643466520000004</v>
      </c>
      <c r="BD107">
        <v>0.211190726</v>
      </c>
      <c r="BE107">
        <v>0.57648664800000005</v>
      </c>
      <c r="BI107">
        <v>0.18895946</v>
      </c>
      <c r="BJ107">
        <v>290.85928630000001</v>
      </c>
      <c r="BK107">
        <v>14.002095280000001</v>
      </c>
      <c r="BL107">
        <v>124.3829296</v>
      </c>
      <c r="BM107">
        <v>99.047290239999995</v>
      </c>
      <c r="BN107">
        <v>1023.898611</v>
      </c>
      <c r="BO107">
        <v>99.193741970000005</v>
      </c>
      <c r="BP107">
        <v>308.34432770000001</v>
      </c>
      <c r="BQ107">
        <v>1048.3685439999999</v>
      </c>
      <c r="BR107">
        <v>117.5371743</v>
      </c>
      <c r="BU107">
        <v>10.89116192</v>
      </c>
      <c r="BW107">
        <v>271.26090590000001</v>
      </c>
      <c r="BX107">
        <v>97.689765840000007</v>
      </c>
      <c r="BY107">
        <v>168.71535399999999</v>
      </c>
      <c r="BZ107">
        <v>12.712963999999999</v>
      </c>
      <c r="CB107">
        <v>45.038288319999999</v>
      </c>
      <c r="CF107">
        <v>3.7656474499999999</v>
      </c>
      <c r="CH107">
        <v>6.2482746540000003</v>
      </c>
      <c r="CI107">
        <v>10.67934241</v>
      </c>
      <c r="CJ107">
        <v>18.684258669999998</v>
      </c>
      <c r="CL107">
        <v>202.60450739999999</v>
      </c>
      <c r="CM107">
        <v>5.5651382370000002</v>
      </c>
      <c r="CN107">
        <v>0.718742086</v>
      </c>
      <c r="CO107">
        <v>0.89337164599999996</v>
      </c>
      <c r="CP107">
        <v>1.8034785090000001</v>
      </c>
      <c r="CQ107">
        <v>2.4976003429999998</v>
      </c>
      <c r="CR107">
        <v>4.7644835690000003</v>
      </c>
      <c r="CS107">
        <v>5.1863273000000001E-2</v>
      </c>
      <c r="CT107">
        <v>9.9052624000000006E-2</v>
      </c>
      <c r="CU107">
        <v>0.12898405199999999</v>
      </c>
      <c r="CV107">
        <v>0.22125425900000001</v>
      </c>
      <c r="CW107">
        <v>25.771340850000001</v>
      </c>
      <c r="CX107">
        <v>77.950218919999998</v>
      </c>
      <c r="DE107">
        <v>4142.1587259999997</v>
      </c>
    </row>
    <row r="108" spans="1:109" x14ac:dyDescent="0.35">
      <c r="A108" t="s">
        <v>205</v>
      </c>
      <c r="B108" t="s">
        <v>108</v>
      </c>
      <c r="C108">
        <v>77.994502600000004</v>
      </c>
      <c r="D108">
        <v>56.543992889999998</v>
      </c>
      <c r="E108">
        <v>42.894012259999997</v>
      </c>
      <c r="F108">
        <v>144.00097049999999</v>
      </c>
      <c r="G108">
        <v>78.260342940000001</v>
      </c>
      <c r="H108">
        <v>429.79143520000002</v>
      </c>
      <c r="I108">
        <v>116.75293139999999</v>
      </c>
      <c r="J108">
        <v>34.506354739999999</v>
      </c>
      <c r="K108">
        <v>6.3144131200000002</v>
      </c>
      <c r="L108">
        <v>545.31661710000003</v>
      </c>
      <c r="M108">
        <v>183.426255</v>
      </c>
      <c r="N108">
        <v>30.596533059999999</v>
      </c>
      <c r="O108">
        <v>297.81298659999999</v>
      </c>
      <c r="P108">
        <v>59.084226710000003</v>
      </c>
      <c r="Q108">
        <v>67.096307699999997</v>
      </c>
      <c r="R108">
        <v>723.06096379999997</v>
      </c>
      <c r="S108">
        <v>42.725675760000001</v>
      </c>
      <c r="T108">
        <v>439.19242969999999</v>
      </c>
      <c r="U108">
        <v>1036.911218</v>
      </c>
      <c r="V108">
        <v>469.45141749999999</v>
      </c>
      <c r="W108">
        <v>196.9858792</v>
      </c>
      <c r="X108">
        <v>83.609227259999997</v>
      </c>
      <c r="Y108">
        <v>220.4504914</v>
      </c>
      <c r="Z108">
        <v>116.1870248</v>
      </c>
      <c r="AA108">
        <v>95.832709679999994</v>
      </c>
      <c r="AB108">
        <v>156.570446</v>
      </c>
      <c r="AC108">
        <v>41.230400709999998</v>
      </c>
      <c r="AD108">
        <v>189.73319430000001</v>
      </c>
      <c r="AE108">
        <v>103.4146506</v>
      </c>
      <c r="AF108">
        <v>2138.610725</v>
      </c>
      <c r="AG108">
        <v>1764.6925229999999</v>
      </c>
      <c r="AH108">
        <v>1154.7154439999999</v>
      </c>
      <c r="AI108">
        <v>388.79287579999999</v>
      </c>
      <c r="AJ108">
        <v>421.01187979999997</v>
      </c>
      <c r="AK108">
        <v>451.8291011</v>
      </c>
      <c r="AL108">
        <v>717.18315219999999</v>
      </c>
      <c r="AM108">
        <v>650.1141705</v>
      </c>
      <c r="AN108">
        <v>1513.4657910000001</v>
      </c>
      <c r="AO108">
        <v>516.78316989999996</v>
      </c>
      <c r="AP108">
        <v>384.95472690000003</v>
      </c>
      <c r="AQ108">
        <v>687.92096579999998</v>
      </c>
      <c r="AR108">
        <v>74.198676770000006</v>
      </c>
      <c r="AS108">
        <v>59.337861340000003</v>
      </c>
      <c r="AT108">
        <v>54.46929136</v>
      </c>
      <c r="AU108">
        <v>109.465412</v>
      </c>
      <c r="AV108">
        <v>94.138426440000003</v>
      </c>
      <c r="AW108">
        <v>237.5112297</v>
      </c>
      <c r="AX108">
        <v>116.02463830000001</v>
      </c>
      <c r="AY108">
        <v>34.873850760000003</v>
      </c>
      <c r="AZ108">
        <v>6.3842683960000004</v>
      </c>
      <c r="BA108">
        <v>407.45803599999999</v>
      </c>
      <c r="BB108">
        <v>184.60188930000001</v>
      </c>
      <c r="BC108">
        <v>30.240466619999999</v>
      </c>
      <c r="BD108">
        <v>262.08172359999998</v>
      </c>
      <c r="BE108">
        <v>40.927608829999997</v>
      </c>
      <c r="BF108">
        <v>66.3301467</v>
      </c>
      <c r="BG108">
        <v>103.6321281</v>
      </c>
      <c r="BH108">
        <v>43.682109830000002</v>
      </c>
      <c r="BI108">
        <v>654.38680620000002</v>
      </c>
      <c r="BJ108">
        <v>1437.9086339999999</v>
      </c>
      <c r="BK108">
        <v>456.1783069</v>
      </c>
      <c r="BL108">
        <v>528.18844790000003</v>
      </c>
      <c r="BM108">
        <v>211.6946231</v>
      </c>
      <c r="BN108">
        <v>1524.275279</v>
      </c>
      <c r="BO108">
        <v>289.59156910000002</v>
      </c>
      <c r="BP108">
        <v>511.5849953</v>
      </c>
      <c r="BQ108">
        <v>1695.2935259999999</v>
      </c>
      <c r="BR108">
        <v>178.0490231</v>
      </c>
      <c r="BS108">
        <v>426.63402819999999</v>
      </c>
      <c r="BT108">
        <v>124.55609750000001</v>
      </c>
      <c r="BU108">
        <v>2167.2039319999999</v>
      </c>
      <c r="BV108">
        <v>1764.7920879999999</v>
      </c>
      <c r="BW108">
        <v>1434.5609360000001</v>
      </c>
      <c r="BX108">
        <v>497.71340939999999</v>
      </c>
      <c r="BY108">
        <v>675.78222640000001</v>
      </c>
      <c r="BZ108">
        <v>479.77801699999998</v>
      </c>
      <c r="CA108">
        <v>721.67935499999999</v>
      </c>
      <c r="CB108">
        <v>709.96983420000004</v>
      </c>
      <c r="CC108">
        <v>1513.4657910000001</v>
      </c>
      <c r="CD108">
        <v>516.98288030000003</v>
      </c>
      <c r="CE108">
        <v>385.23877970000001</v>
      </c>
      <c r="CF108">
        <v>712.82011850000004</v>
      </c>
      <c r="CG108">
        <v>1394.684225</v>
      </c>
      <c r="CH108">
        <v>972.20184070000005</v>
      </c>
      <c r="CI108">
        <v>1661.654925</v>
      </c>
      <c r="CJ108">
        <v>2907.1818509999998</v>
      </c>
      <c r="CK108">
        <v>651.40798889999996</v>
      </c>
      <c r="CL108">
        <v>3911.9124969999998</v>
      </c>
      <c r="CM108">
        <v>3863.4957509999999</v>
      </c>
      <c r="CN108">
        <v>415.77713069999999</v>
      </c>
      <c r="CO108">
        <v>631.14824160000001</v>
      </c>
      <c r="CP108">
        <v>861.48615580000001</v>
      </c>
      <c r="CQ108">
        <v>1272.920566</v>
      </c>
      <c r="CR108">
        <v>1518.8056079999999</v>
      </c>
      <c r="CS108">
        <v>34.118367030000002</v>
      </c>
      <c r="CT108">
        <v>74.21138929</v>
      </c>
      <c r="CU108">
        <v>128.16300949999999</v>
      </c>
      <c r="CV108">
        <v>302.48876150000001</v>
      </c>
      <c r="CW108">
        <v>5011.1517309999999</v>
      </c>
      <c r="CX108">
        <v>2298.239212</v>
      </c>
      <c r="CY108">
        <v>696.07044110000004</v>
      </c>
      <c r="CZ108">
        <v>0.77914855199999999</v>
      </c>
      <c r="DA108">
        <v>123.84333289999999</v>
      </c>
      <c r="DB108">
        <v>734.97077209999998</v>
      </c>
      <c r="DC108">
        <v>2870.845691</v>
      </c>
      <c r="DD108">
        <v>4142.1587259999997</v>
      </c>
      <c r="DE108">
        <v>74899.225959999996</v>
      </c>
    </row>
    <row r="109" spans="1:109" x14ac:dyDescent="0.35">
      <c r="C109">
        <v>77.994502600000004</v>
      </c>
      <c r="D109">
        <v>56.543992889999998</v>
      </c>
      <c r="E109">
        <v>42.894012259999997</v>
      </c>
      <c r="F109">
        <v>144.00097049999999</v>
      </c>
      <c r="G109">
        <v>78.260342940000001</v>
      </c>
      <c r="H109">
        <v>429.79143520000002</v>
      </c>
      <c r="I109">
        <v>116.75293139999999</v>
      </c>
      <c r="J109">
        <v>34.506354739999999</v>
      </c>
      <c r="K109">
        <v>6.3144131200000002</v>
      </c>
      <c r="L109">
        <v>545.31661710000003</v>
      </c>
      <c r="M109">
        <v>183.426255</v>
      </c>
      <c r="N109">
        <v>30.596533059999999</v>
      </c>
      <c r="O109">
        <v>297.81298659999999</v>
      </c>
      <c r="P109">
        <v>59.084226710000003</v>
      </c>
      <c r="Q109">
        <v>67.096307699999997</v>
      </c>
      <c r="R109">
        <v>723.06096379999997</v>
      </c>
      <c r="S109">
        <v>42.725675760000001</v>
      </c>
      <c r="T109">
        <v>439.19242969999999</v>
      </c>
      <c r="U109">
        <v>1036.911218</v>
      </c>
      <c r="V109">
        <v>469.45141749999999</v>
      </c>
      <c r="W109">
        <v>196.9858792</v>
      </c>
      <c r="X109">
        <v>83.609227259999997</v>
      </c>
      <c r="Y109">
        <v>220.4504914</v>
      </c>
      <c r="Z109">
        <v>116.1870248</v>
      </c>
      <c r="AA109">
        <v>95.832709679999994</v>
      </c>
      <c r="AB109">
        <v>156.570446</v>
      </c>
      <c r="AC109">
        <v>41.230400709999998</v>
      </c>
      <c r="AD109">
        <v>189.73319430000001</v>
      </c>
      <c r="AE109">
        <v>103.4146506</v>
      </c>
      <c r="AF109">
        <v>2138.610725</v>
      </c>
      <c r="AG109">
        <v>1764.6925229999999</v>
      </c>
      <c r="AH109">
        <v>1154.7154439999999</v>
      </c>
      <c r="AI109">
        <v>388.79287579999999</v>
      </c>
      <c r="AJ109">
        <v>421.01187979999997</v>
      </c>
      <c r="AK109">
        <v>451.8291011</v>
      </c>
      <c r="AL109">
        <v>717.18315219999999</v>
      </c>
      <c r="AM109">
        <v>650.1141705</v>
      </c>
      <c r="AN109">
        <v>1513.4657910000001</v>
      </c>
      <c r="AO109">
        <v>516.78316989999996</v>
      </c>
      <c r="AP109">
        <v>384.95472690000003</v>
      </c>
      <c r="AQ109">
        <v>687.92096579999998</v>
      </c>
      <c r="AR109">
        <v>74.198676770000006</v>
      </c>
      <c r="AS109">
        <v>59.337861340000003</v>
      </c>
      <c r="AT109">
        <v>54.46929136</v>
      </c>
      <c r="AU109">
        <v>109.465412</v>
      </c>
      <c r="AV109">
        <v>94.138426440000003</v>
      </c>
      <c r="AW109">
        <v>237.5112297</v>
      </c>
      <c r="AX109">
        <v>116.02463830000001</v>
      </c>
      <c r="AY109">
        <v>34.873850760000003</v>
      </c>
      <c r="AZ109">
        <v>6.3842683960000004</v>
      </c>
      <c r="BA109">
        <v>407.45803599999999</v>
      </c>
      <c r="BB109">
        <v>184.60188930000001</v>
      </c>
      <c r="BC109">
        <v>30.240466619999999</v>
      </c>
      <c r="BD109">
        <v>262.08172359999998</v>
      </c>
      <c r="BE109">
        <v>40.927608829999997</v>
      </c>
      <c r="BF109">
        <v>66.3301467</v>
      </c>
      <c r="BG109">
        <v>103.6321281</v>
      </c>
      <c r="BH109">
        <v>43.682109830000002</v>
      </c>
      <c r="BI109">
        <v>654.38680620000002</v>
      </c>
      <c r="BJ109">
        <v>1437.9086339999999</v>
      </c>
      <c r="BK109">
        <v>456.1783069</v>
      </c>
      <c r="BL109">
        <v>528.18844790000003</v>
      </c>
      <c r="BM109">
        <v>211.6946231</v>
      </c>
      <c r="BN109">
        <v>1524.275279</v>
      </c>
      <c r="BO109">
        <v>289.59156910000002</v>
      </c>
      <c r="BP109">
        <v>511.5849953</v>
      </c>
      <c r="BQ109">
        <v>1695.2935259999999</v>
      </c>
      <c r="BR109">
        <v>178.0490231</v>
      </c>
      <c r="BS109">
        <v>426.63402819999999</v>
      </c>
      <c r="BT109">
        <v>124.55609750000001</v>
      </c>
      <c r="BU109">
        <v>2167.2039319999999</v>
      </c>
      <c r="BV109">
        <v>1764.7920879999999</v>
      </c>
      <c r="BW109">
        <v>1434.5609360000001</v>
      </c>
      <c r="BX109">
        <v>497.71340939999999</v>
      </c>
      <c r="BY109">
        <v>675.78222640000001</v>
      </c>
      <c r="BZ109">
        <v>479.77801699999998</v>
      </c>
      <c r="CA109">
        <v>721.67935499999999</v>
      </c>
      <c r="CB109">
        <v>709.96983420000004</v>
      </c>
      <c r="CC109">
        <v>1513.4657910000001</v>
      </c>
      <c r="CD109">
        <v>516.98288030000003</v>
      </c>
      <c r="CE109">
        <v>385.23877970000001</v>
      </c>
      <c r="CF109">
        <v>712.82011850000004</v>
      </c>
      <c r="CG109">
        <v>1394.684225</v>
      </c>
      <c r="CH109">
        <v>972.20184070000005</v>
      </c>
      <c r="CI109">
        <v>1661.654925</v>
      </c>
      <c r="CJ109">
        <v>2907.1818509999998</v>
      </c>
      <c r="CK109">
        <v>651.40798889999996</v>
      </c>
      <c r="CL109">
        <v>3911.9124969999998</v>
      </c>
      <c r="CM109">
        <v>3863.4957509999999</v>
      </c>
      <c r="CN109">
        <v>415.77713069999999</v>
      </c>
      <c r="CO109">
        <v>631.14824160000001</v>
      </c>
      <c r="CP109">
        <v>861.48615580000001</v>
      </c>
      <c r="CQ109">
        <v>1272.920566</v>
      </c>
      <c r="CR109">
        <v>1518.8056079999999</v>
      </c>
      <c r="CS109">
        <v>34.118367030000002</v>
      </c>
      <c r="CT109">
        <v>74.21138929</v>
      </c>
      <c r="CU109">
        <v>128.16300949999999</v>
      </c>
      <c r="CV109">
        <v>302.48876150000001</v>
      </c>
      <c r="CW109">
        <v>5011.1517309999999</v>
      </c>
      <c r="CX109">
        <v>2298.239212</v>
      </c>
      <c r="CY109">
        <v>696.07044110000004</v>
      </c>
      <c r="CZ109">
        <v>0.77914855199999999</v>
      </c>
      <c r="DA109">
        <v>123.84333289999999</v>
      </c>
      <c r="DB109">
        <v>734.97077209999998</v>
      </c>
      <c r="DC109">
        <v>2870.845691</v>
      </c>
      <c r="DD109">
        <v>4142.1587259999997</v>
      </c>
      <c r="DE109">
        <v>74899.225959999996</v>
      </c>
    </row>
    <row r="111" spans="1:109" x14ac:dyDescent="0.35">
      <c r="C111">
        <f>IF(C109=C108,1,0)</f>
        <v>1</v>
      </c>
      <c r="D111">
        <f t="shared" ref="D111:BO111" si="2">IF(D109=D108,1,0)</f>
        <v>1</v>
      </c>
      <c r="E111">
        <f t="shared" si="2"/>
        <v>1</v>
      </c>
      <c r="F111">
        <f t="shared" si="2"/>
        <v>1</v>
      </c>
      <c r="G111">
        <f t="shared" si="2"/>
        <v>1</v>
      </c>
      <c r="H111">
        <f t="shared" si="2"/>
        <v>1</v>
      </c>
      <c r="I111">
        <f t="shared" si="2"/>
        <v>1</v>
      </c>
      <c r="J111">
        <f t="shared" si="2"/>
        <v>1</v>
      </c>
      <c r="K111">
        <f t="shared" si="2"/>
        <v>1</v>
      </c>
      <c r="L111">
        <f t="shared" si="2"/>
        <v>1</v>
      </c>
      <c r="M111">
        <f t="shared" si="2"/>
        <v>1</v>
      </c>
      <c r="N111">
        <f t="shared" si="2"/>
        <v>1</v>
      </c>
      <c r="O111">
        <f t="shared" si="2"/>
        <v>1</v>
      </c>
      <c r="P111">
        <f t="shared" si="2"/>
        <v>1</v>
      </c>
      <c r="Q111">
        <f t="shared" si="2"/>
        <v>1</v>
      </c>
      <c r="R111">
        <f t="shared" si="2"/>
        <v>1</v>
      </c>
      <c r="S111">
        <f t="shared" si="2"/>
        <v>1</v>
      </c>
      <c r="T111">
        <f t="shared" si="2"/>
        <v>1</v>
      </c>
      <c r="U111">
        <f t="shared" si="2"/>
        <v>1</v>
      </c>
      <c r="V111">
        <f t="shared" si="2"/>
        <v>1</v>
      </c>
      <c r="W111">
        <f t="shared" si="2"/>
        <v>1</v>
      </c>
      <c r="X111">
        <f t="shared" si="2"/>
        <v>1</v>
      </c>
      <c r="Y111">
        <f t="shared" si="2"/>
        <v>1</v>
      </c>
      <c r="Z111">
        <f t="shared" si="2"/>
        <v>1</v>
      </c>
      <c r="AA111">
        <f t="shared" si="2"/>
        <v>1</v>
      </c>
      <c r="AB111">
        <f t="shared" si="2"/>
        <v>1</v>
      </c>
      <c r="AC111">
        <f t="shared" si="2"/>
        <v>1</v>
      </c>
      <c r="AD111">
        <f t="shared" si="2"/>
        <v>1</v>
      </c>
      <c r="AE111">
        <f t="shared" si="2"/>
        <v>1</v>
      </c>
      <c r="AF111">
        <f t="shared" si="2"/>
        <v>1</v>
      </c>
      <c r="AG111">
        <f t="shared" si="2"/>
        <v>1</v>
      </c>
      <c r="AH111">
        <f t="shared" si="2"/>
        <v>1</v>
      </c>
      <c r="AI111">
        <f t="shared" si="2"/>
        <v>1</v>
      </c>
      <c r="AJ111">
        <f t="shared" si="2"/>
        <v>1</v>
      </c>
      <c r="AK111">
        <f t="shared" si="2"/>
        <v>1</v>
      </c>
      <c r="AL111">
        <f t="shared" si="2"/>
        <v>1</v>
      </c>
      <c r="AM111">
        <f t="shared" si="2"/>
        <v>1</v>
      </c>
      <c r="AN111">
        <f t="shared" si="2"/>
        <v>1</v>
      </c>
      <c r="AO111">
        <f t="shared" si="2"/>
        <v>1</v>
      </c>
      <c r="AP111">
        <f t="shared" si="2"/>
        <v>1</v>
      </c>
      <c r="AQ111">
        <f t="shared" si="2"/>
        <v>1</v>
      </c>
      <c r="AR111">
        <f t="shared" si="2"/>
        <v>1</v>
      </c>
      <c r="AS111">
        <f t="shared" si="2"/>
        <v>1</v>
      </c>
      <c r="AT111">
        <f t="shared" si="2"/>
        <v>1</v>
      </c>
      <c r="AU111">
        <f t="shared" si="2"/>
        <v>1</v>
      </c>
      <c r="AV111">
        <f t="shared" si="2"/>
        <v>1</v>
      </c>
      <c r="AW111">
        <f t="shared" si="2"/>
        <v>1</v>
      </c>
      <c r="AX111">
        <f t="shared" si="2"/>
        <v>1</v>
      </c>
      <c r="AY111">
        <f t="shared" si="2"/>
        <v>1</v>
      </c>
      <c r="AZ111">
        <f t="shared" si="2"/>
        <v>1</v>
      </c>
      <c r="BA111">
        <f t="shared" si="2"/>
        <v>1</v>
      </c>
      <c r="BB111">
        <f t="shared" si="2"/>
        <v>1</v>
      </c>
      <c r="BC111">
        <f t="shared" si="2"/>
        <v>1</v>
      </c>
      <c r="BD111">
        <f t="shared" si="2"/>
        <v>1</v>
      </c>
      <c r="BE111">
        <f t="shared" si="2"/>
        <v>1</v>
      </c>
      <c r="BF111">
        <f t="shared" si="2"/>
        <v>1</v>
      </c>
      <c r="BG111">
        <f t="shared" si="2"/>
        <v>1</v>
      </c>
      <c r="BH111">
        <f t="shared" si="2"/>
        <v>1</v>
      </c>
      <c r="BI111">
        <f t="shared" si="2"/>
        <v>1</v>
      </c>
      <c r="BJ111">
        <f t="shared" si="2"/>
        <v>1</v>
      </c>
      <c r="BK111">
        <f t="shared" si="2"/>
        <v>1</v>
      </c>
      <c r="BL111">
        <f t="shared" si="2"/>
        <v>1</v>
      </c>
      <c r="BM111">
        <f t="shared" si="2"/>
        <v>1</v>
      </c>
      <c r="BN111">
        <f t="shared" si="2"/>
        <v>1</v>
      </c>
      <c r="BO111">
        <f t="shared" si="2"/>
        <v>1</v>
      </c>
      <c r="BP111">
        <f t="shared" ref="BP111:DE111" si="3">IF(BP109=BP108,1,0)</f>
        <v>1</v>
      </c>
      <c r="BQ111">
        <f t="shared" si="3"/>
        <v>1</v>
      </c>
      <c r="BR111">
        <f t="shared" si="3"/>
        <v>1</v>
      </c>
      <c r="BS111">
        <f t="shared" si="3"/>
        <v>1</v>
      </c>
      <c r="BT111">
        <f t="shared" si="3"/>
        <v>1</v>
      </c>
      <c r="BU111">
        <f t="shared" si="3"/>
        <v>1</v>
      </c>
      <c r="BV111">
        <f t="shared" si="3"/>
        <v>1</v>
      </c>
      <c r="BW111">
        <f t="shared" si="3"/>
        <v>1</v>
      </c>
      <c r="BX111">
        <f t="shared" si="3"/>
        <v>1</v>
      </c>
      <c r="BY111">
        <f t="shared" si="3"/>
        <v>1</v>
      </c>
      <c r="BZ111">
        <f t="shared" si="3"/>
        <v>1</v>
      </c>
      <c r="CA111">
        <f t="shared" si="3"/>
        <v>1</v>
      </c>
      <c r="CB111">
        <f t="shared" si="3"/>
        <v>1</v>
      </c>
      <c r="CC111">
        <f t="shared" si="3"/>
        <v>1</v>
      </c>
      <c r="CD111">
        <f t="shared" si="3"/>
        <v>1</v>
      </c>
      <c r="CE111">
        <f t="shared" si="3"/>
        <v>1</v>
      </c>
      <c r="CF111">
        <f t="shared" si="3"/>
        <v>1</v>
      </c>
      <c r="CG111">
        <f t="shared" si="3"/>
        <v>1</v>
      </c>
      <c r="CH111">
        <f t="shared" si="3"/>
        <v>1</v>
      </c>
      <c r="CI111">
        <f t="shared" si="3"/>
        <v>1</v>
      </c>
      <c r="CJ111">
        <f t="shared" si="3"/>
        <v>1</v>
      </c>
      <c r="CK111">
        <f t="shared" si="3"/>
        <v>1</v>
      </c>
      <c r="CL111">
        <f t="shared" si="3"/>
        <v>1</v>
      </c>
      <c r="CM111">
        <f t="shared" si="3"/>
        <v>1</v>
      </c>
      <c r="CN111">
        <f t="shared" si="3"/>
        <v>1</v>
      </c>
      <c r="CO111">
        <f t="shared" si="3"/>
        <v>1</v>
      </c>
      <c r="CP111">
        <f t="shared" si="3"/>
        <v>1</v>
      </c>
      <c r="CQ111">
        <f t="shared" si="3"/>
        <v>1</v>
      </c>
      <c r="CR111">
        <f t="shared" si="3"/>
        <v>1</v>
      </c>
      <c r="CS111">
        <f t="shared" si="3"/>
        <v>1</v>
      </c>
      <c r="CT111">
        <f t="shared" si="3"/>
        <v>1</v>
      </c>
      <c r="CU111">
        <f t="shared" si="3"/>
        <v>1</v>
      </c>
      <c r="CV111">
        <f t="shared" si="3"/>
        <v>1</v>
      </c>
      <c r="CW111">
        <f t="shared" si="3"/>
        <v>1</v>
      </c>
      <c r="CX111">
        <f t="shared" si="3"/>
        <v>1</v>
      </c>
      <c r="CY111">
        <f t="shared" si="3"/>
        <v>1</v>
      </c>
      <c r="CZ111">
        <f t="shared" si="3"/>
        <v>1</v>
      </c>
      <c r="DA111">
        <f t="shared" si="3"/>
        <v>1</v>
      </c>
      <c r="DB111">
        <f t="shared" si="3"/>
        <v>1</v>
      </c>
      <c r="DC111">
        <f t="shared" si="3"/>
        <v>1</v>
      </c>
      <c r="DD111">
        <f t="shared" si="3"/>
        <v>1</v>
      </c>
      <c r="DE111">
        <f t="shared" si="3"/>
        <v>1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abSelected="1" workbookViewId="0">
      <selection activeCell="D23" sqref="D23"/>
    </sheetView>
  </sheetViews>
  <sheetFormatPr baseColWidth="10" defaultRowHeight="14.5" x14ac:dyDescent="0.35"/>
  <sheetData>
    <row r="1" spans="1:4" x14ac:dyDescent="0.35">
      <c r="A1" t="s">
        <v>2</v>
      </c>
      <c r="C1" t="s">
        <v>43</v>
      </c>
      <c r="D1">
        <f t="array" ref="D1:D41">TRANSPOSE(SAM_2021!AR107:CF107)</f>
        <v>14.090911350000001</v>
      </c>
    </row>
    <row r="2" spans="1:4" x14ac:dyDescent="0.35">
      <c r="A2" t="s">
        <v>3</v>
      </c>
      <c r="C2" s="6" t="s">
        <v>44</v>
      </c>
      <c r="D2">
        <v>0</v>
      </c>
    </row>
    <row r="3" spans="1:4" x14ac:dyDescent="0.35">
      <c r="A3" t="s">
        <v>4</v>
      </c>
      <c r="C3" s="6" t="s">
        <v>45</v>
      </c>
      <c r="D3">
        <v>11.35255941</v>
      </c>
    </row>
    <row r="4" spans="1:4" x14ac:dyDescent="0.35">
      <c r="A4" t="s">
        <v>5</v>
      </c>
      <c r="C4" s="6" t="s">
        <v>46</v>
      </c>
      <c r="D4">
        <v>1.307296496</v>
      </c>
    </row>
    <row r="5" spans="1:4" x14ac:dyDescent="0.35">
      <c r="A5" t="s">
        <v>6</v>
      </c>
      <c r="C5" s="6" t="s">
        <v>47</v>
      </c>
      <c r="D5">
        <v>13.75892893</v>
      </c>
    </row>
    <row r="6" spans="1:4" x14ac:dyDescent="0.35">
      <c r="A6" t="s">
        <v>7</v>
      </c>
      <c r="C6" s="6" t="s">
        <v>48</v>
      </c>
      <c r="D6">
        <v>0</v>
      </c>
    </row>
    <row r="7" spans="1:4" x14ac:dyDescent="0.35">
      <c r="A7" t="s">
        <v>8</v>
      </c>
      <c r="C7" s="6" t="s">
        <v>49</v>
      </c>
      <c r="D7">
        <v>2.0180470910000001</v>
      </c>
    </row>
    <row r="8" spans="1:4" x14ac:dyDescent="0.35">
      <c r="A8" t="s">
        <v>9</v>
      </c>
      <c r="C8" s="6" t="s">
        <v>50</v>
      </c>
      <c r="D8">
        <v>0</v>
      </c>
    </row>
    <row r="9" spans="1:4" x14ac:dyDescent="0.35">
      <c r="A9" t="s">
        <v>10</v>
      </c>
      <c r="C9" s="6" t="s">
        <v>51</v>
      </c>
      <c r="D9">
        <v>0</v>
      </c>
    </row>
    <row r="10" spans="1:4" x14ac:dyDescent="0.35">
      <c r="A10" t="s">
        <v>11</v>
      </c>
      <c r="C10" s="6" t="s">
        <v>52</v>
      </c>
      <c r="D10">
        <v>4.2643466520000004</v>
      </c>
    </row>
    <row r="11" spans="1:4" x14ac:dyDescent="0.35">
      <c r="A11" t="s">
        <v>12</v>
      </c>
      <c r="C11" s="6" t="s">
        <v>53</v>
      </c>
      <c r="D11">
        <v>0</v>
      </c>
    </row>
    <row r="12" spans="1:4" x14ac:dyDescent="0.35">
      <c r="A12" t="s">
        <v>13</v>
      </c>
      <c r="C12" s="6" t="s">
        <v>54</v>
      </c>
      <c r="D12">
        <v>0</v>
      </c>
    </row>
    <row r="13" spans="1:4" x14ac:dyDescent="0.35">
      <c r="A13" t="s">
        <v>14</v>
      </c>
      <c r="C13" s="6" t="s">
        <v>55</v>
      </c>
      <c r="D13">
        <v>0.211190726</v>
      </c>
    </row>
    <row r="14" spans="1:4" x14ac:dyDescent="0.35">
      <c r="A14" t="s">
        <v>15</v>
      </c>
      <c r="C14" s="6" t="s">
        <v>56</v>
      </c>
      <c r="D14">
        <v>0.57648664800000005</v>
      </c>
    </row>
    <row r="15" spans="1:4" x14ac:dyDescent="0.35">
      <c r="A15" t="s">
        <v>16</v>
      </c>
      <c r="C15" s="6" t="s">
        <v>57</v>
      </c>
      <c r="D15">
        <v>0</v>
      </c>
    </row>
    <row r="16" spans="1:4" x14ac:dyDescent="0.35">
      <c r="A16" t="s">
        <v>17</v>
      </c>
      <c r="C16" s="6" t="s">
        <v>58</v>
      </c>
      <c r="D16">
        <v>0</v>
      </c>
    </row>
    <row r="17" spans="1:4" x14ac:dyDescent="0.35">
      <c r="A17" t="s">
        <v>18</v>
      </c>
      <c r="C17" s="6" t="s">
        <v>59</v>
      </c>
      <c r="D17">
        <v>0</v>
      </c>
    </row>
    <row r="18" spans="1:4" x14ac:dyDescent="0.35">
      <c r="A18" t="s">
        <v>19</v>
      </c>
      <c r="C18" s="6" t="s">
        <v>60</v>
      </c>
      <c r="D18">
        <v>0.18895946</v>
      </c>
    </row>
    <row r="19" spans="1:4" x14ac:dyDescent="0.35">
      <c r="A19" t="s">
        <v>20</v>
      </c>
      <c r="C19" s="6" t="s">
        <v>61</v>
      </c>
      <c r="D19">
        <v>290.85928630000001</v>
      </c>
    </row>
    <row r="20" spans="1:4" x14ac:dyDescent="0.35">
      <c r="A20" t="s">
        <v>21</v>
      </c>
      <c r="C20" s="6" t="s">
        <v>62</v>
      </c>
      <c r="D20">
        <v>14.002095280000001</v>
      </c>
    </row>
    <row r="21" spans="1:4" x14ac:dyDescent="0.35">
      <c r="A21" t="s">
        <v>22</v>
      </c>
      <c r="C21" s="6" t="s">
        <v>63</v>
      </c>
      <c r="D21">
        <v>124.3829296</v>
      </c>
    </row>
    <row r="22" spans="1:4" x14ac:dyDescent="0.35">
      <c r="A22" t="s">
        <v>23</v>
      </c>
      <c r="C22" s="6" t="s">
        <v>64</v>
      </c>
      <c r="D22">
        <v>99.047290239999995</v>
      </c>
    </row>
    <row r="23" spans="1:4" x14ac:dyDescent="0.35">
      <c r="A23" t="s">
        <v>24</v>
      </c>
      <c r="C23" s="6" t="s">
        <v>65</v>
      </c>
      <c r="D23">
        <v>1023.898611</v>
      </c>
    </row>
    <row r="24" spans="1:4" x14ac:dyDescent="0.35">
      <c r="A24" t="s">
        <v>25</v>
      </c>
      <c r="C24" s="6" t="s">
        <v>66</v>
      </c>
      <c r="D24">
        <v>99.193741970000005</v>
      </c>
    </row>
    <row r="25" spans="1:4" x14ac:dyDescent="0.35">
      <c r="A25" t="s">
        <v>26</v>
      </c>
      <c r="C25" s="6" t="s">
        <v>67</v>
      </c>
      <c r="D25">
        <v>308.34432770000001</v>
      </c>
    </row>
    <row r="26" spans="1:4" x14ac:dyDescent="0.35">
      <c r="A26" t="s">
        <v>27</v>
      </c>
      <c r="C26" s="6" t="s">
        <v>68</v>
      </c>
      <c r="D26">
        <v>1048.3685439999999</v>
      </c>
    </row>
    <row r="27" spans="1:4" x14ac:dyDescent="0.35">
      <c r="A27" t="s">
        <v>28</v>
      </c>
      <c r="C27" s="6" t="s">
        <v>69</v>
      </c>
      <c r="D27">
        <v>117.5371743</v>
      </c>
    </row>
    <row r="28" spans="1:4" x14ac:dyDescent="0.35">
      <c r="A28" t="s">
        <v>29</v>
      </c>
      <c r="C28" s="6" t="s">
        <v>70</v>
      </c>
      <c r="D28">
        <v>0</v>
      </c>
    </row>
    <row r="29" spans="1:4" x14ac:dyDescent="0.35">
      <c r="A29" t="s">
        <v>30</v>
      </c>
      <c r="C29" s="6" t="s">
        <v>71</v>
      </c>
      <c r="D29">
        <v>0</v>
      </c>
    </row>
    <row r="30" spans="1:4" x14ac:dyDescent="0.35">
      <c r="A30" t="s">
        <v>31</v>
      </c>
      <c r="C30" s="6" t="s">
        <v>72</v>
      </c>
      <c r="D30">
        <v>10.89116192</v>
      </c>
    </row>
    <row r="31" spans="1:4" x14ac:dyDescent="0.35">
      <c r="A31" t="s">
        <v>32</v>
      </c>
      <c r="C31" s="6" t="s">
        <v>73</v>
      </c>
      <c r="D31">
        <v>0</v>
      </c>
    </row>
    <row r="32" spans="1:4" x14ac:dyDescent="0.35">
      <c r="A32" t="s">
        <v>33</v>
      </c>
      <c r="C32" s="6" t="s">
        <v>74</v>
      </c>
      <c r="D32">
        <v>271.26090590000001</v>
      </c>
    </row>
    <row r="33" spans="1:4" x14ac:dyDescent="0.35">
      <c r="A33" t="s">
        <v>34</v>
      </c>
      <c r="C33" s="6" t="s">
        <v>75</v>
      </c>
      <c r="D33">
        <v>97.689765840000007</v>
      </c>
    </row>
    <row r="34" spans="1:4" x14ac:dyDescent="0.35">
      <c r="A34" t="s">
        <v>35</v>
      </c>
      <c r="C34" s="6" t="s">
        <v>76</v>
      </c>
      <c r="D34">
        <v>168.71535399999999</v>
      </c>
    </row>
    <row r="35" spans="1:4" x14ac:dyDescent="0.35">
      <c r="A35" t="s">
        <v>36</v>
      </c>
      <c r="C35" s="6" t="s">
        <v>77</v>
      </c>
      <c r="D35">
        <v>12.712963999999999</v>
      </c>
    </row>
    <row r="36" spans="1:4" x14ac:dyDescent="0.35">
      <c r="A36" t="s">
        <v>37</v>
      </c>
      <c r="C36" s="6" t="s">
        <v>78</v>
      </c>
      <c r="D36">
        <v>0</v>
      </c>
    </row>
    <row r="37" spans="1:4" x14ac:dyDescent="0.35">
      <c r="A37" t="s">
        <v>38</v>
      </c>
      <c r="C37" s="6" t="s">
        <v>79</v>
      </c>
      <c r="D37">
        <v>45.038288319999999</v>
      </c>
    </row>
    <row r="38" spans="1:4" x14ac:dyDescent="0.35">
      <c r="A38" t="s">
        <v>39</v>
      </c>
      <c r="C38" s="6" t="s">
        <v>80</v>
      </c>
      <c r="D38">
        <v>0</v>
      </c>
    </row>
    <row r="39" spans="1:4" x14ac:dyDescent="0.35">
      <c r="A39" t="s">
        <v>40</v>
      </c>
      <c r="C39" s="6" t="s">
        <v>81</v>
      </c>
      <c r="D39">
        <v>0</v>
      </c>
    </row>
    <row r="40" spans="1:4" x14ac:dyDescent="0.35">
      <c r="A40" t="s">
        <v>41</v>
      </c>
      <c r="C40" s="6" t="s">
        <v>82</v>
      </c>
      <c r="D40">
        <v>0</v>
      </c>
    </row>
    <row r="41" spans="1:4" x14ac:dyDescent="0.35">
      <c r="A41" t="s">
        <v>42</v>
      </c>
      <c r="C41" s="6" t="s">
        <v>83</v>
      </c>
      <c r="D41">
        <v>3.7656474499999999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SAM_2021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GODIN Antoine</dc:creator>
  <cp:lastModifiedBy>DEJARDIN VERKINDER Laurent</cp:lastModifiedBy>
  <dcterms:created xsi:type="dcterms:W3CDTF">2025-03-20T16:42:51Z</dcterms:created>
  <dcterms:modified xsi:type="dcterms:W3CDTF">2025-08-05T15:23:24Z</dcterms:modified>
</cp:coreProperties>
</file>